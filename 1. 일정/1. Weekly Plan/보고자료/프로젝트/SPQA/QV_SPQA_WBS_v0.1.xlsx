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9.10\ptcsw\90-SW team_work\999.USER\12. 임제훈(JeHun Lim)\A-SPICE\"/>
    </mc:Choice>
  </mc:AlternateContent>
  <bookViews>
    <workbookView showHorizontalScroll="0" showVerticalScroll="0" showSheetTabs="0" xWindow="0" yWindow="0" windowWidth="28740" windowHeight="11955"/>
  </bookViews>
  <sheets>
    <sheet name="SWE 산출물" sheetId="1" r:id="rId1"/>
  </sheets>
  <calcPr calcId="162913"/>
</workbook>
</file>

<file path=xl/calcChain.xml><?xml version="1.0" encoding="utf-8"?>
<calcChain xmlns="http://schemas.openxmlformats.org/spreadsheetml/2006/main">
  <c r="G137" i="1" l="1"/>
  <c r="I137" i="1" s="1"/>
  <c r="G136" i="1"/>
  <c r="H136" i="1" s="1"/>
  <c r="G135" i="1"/>
  <c r="H135" i="1" s="1"/>
  <c r="G134" i="1"/>
  <c r="H134" i="1" s="1"/>
  <c r="G133" i="1"/>
  <c r="I133" i="1" s="1"/>
  <c r="G132" i="1"/>
  <c r="I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I125" i="1" s="1"/>
  <c r="G124" i="1"/>
  <c r="I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I114" i="1" s="1"/>
  <c r="G113" i="1"/>
  <c r="I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I102" i="1" s="1"/>
  <c r="G101" i="1"/>
  <c r="I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I90" i="1" s="1"/>
  <c r="G89" i="1"/>
  <c r="I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I79" i="1" s="1"/>
  <c r="G78" i="1"/>
  <c r="I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I67" i="1" s="1"/>
  <c r="G66" i="1"/>
  <c r="I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I59" i="1" s="1"/>
  <c r="G58" i="1"/>
  <c r="H58" i="1" s="1"/>
  <c r="G57" i="1"/>
  <c r="H57" i="1" s="1"/>
  <c r="G56" i="1"/>
  <c r="H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I45" i="1" s="1"/>
  <c r="G44" i="1"/>
  <c r="I44" i="1" s="1"/>
  <c r="G43" i="1"/>
  <c r="I43" i="1" s="1"/>
  <c r="G42" i="1"/>
  <c r="I42" i="1" s="1"/>
  <c r="G41" i="1"/>
  <c r="I41" i="1" s="1"/>
  <c r="G40" i="1"/>
  <c r="I40" i="1" s="1"/>
  <c r="G39" i="1"/>
  <c r="H39" i="1" s="1"/>
  <c r="G38" i="1"/>
  <c r="I38" i="1" s="1"/>
  <c r="G37" i="1"/>
  <c r="I37" i="1" s="1"/>
  <c r="G36" i="1"/>
  <c r="H36" i="1" s="1"/>
  <c r="G35" i="1"/>
  <c r="H35" i="1" s="1"/>
  <c r="G34" i="1"/>
  <c r="H34" i="1" s="1"/>
  <c r="G33" i="1"/>
  <c r="H33" i="1" s="1"/>
  <c r="G32" i="1"/>
  <c r="I32" i="1" s="1"/>
  <c r="G31" i="1"/>
  <c r="I31" i="1" s="1"/>
  <c r="G30" i="1"/>
  <c r="H30" i="1" s="1"/>
  <c r="G29" i="1"/>
  <c r="H29" i="1" s="1"/>
  <c r="G28" i="1"/>
  <c r="I28" i="1" s="1"/>
  <c r="G27" i="1"/>
  <c r="I27" i="1" s="1"/>
  <c r="G26" i="1"/>
  <c r="I26" i="1" s="1"/>
  <c r="G25" i="1"/>
  <c r="H25" i="1" s="1"/>
  <c r="G24" i="1"/>
  <c r="H24" i="1" s="1"/>
  <c r="G23" i="1"/>
  <c r="H23" i="1" s="1"/>
  <c r="G22" i="1"/>
  <c r="I22" i="1" s="1"/>
  <c r="G21" i="1"/>
  <c r="I21" i="1" s="1"/>
  <c r="G20" i="1"/>
  <c r="I20" i="1" s="1"/>
  <c r="G19" i="1"/>
  <c r="H19" i="1" s="1"/>
  <c r="G18" i="1"/>
  <c r="H18" i="1" s="1"/>
  <c r="G17" i="1"/>
  <c r="I17" i="1" s="1"/>
  <c r="G16" i="1"/>
  <c r="I16" i="1" s="1"/>
  <c r="G15" i="1"/>
  <c r="I15" i="1" s="1"/>
  <c r="G14" i="1"/>
  <c r="H14" i="1" s="1"/>
  <c r="G13" i="1"/>
  <c r="I13" i="1" s="1"/>
  <c r="G12" i="1"/>
  <c r="H12" i="1" s="1"/>
  <c r="G11" i="1"/>
  <c r="H11" i="1" s="1"/>
  <c r="G10" i="1"/>
  <c r="I10" i="1" s="1"/>
  <c r="G9" i="1"/>
  <c r="I9" i="1" s="1"/>
  <c r="G8" i="1"/>
  <c r="I8" i="1" s="1"/>
  <c r="G7" i="1"/>
  <c r="I7" i="1" s="1"/>
  <c r="G6" i="1"/>
  <c r="G5" i="1"/>
  <c r="H13" i="1" l="1"/>
  <c r="I46" i="1"/>
  <c r="H133" i="1"/>
  <c r="H137" i="1"/>
  <c r="I68" i="1"/>
  <c r="H132" i="1"/>
  <c r="I80" i="1"/>
  <c r="H42" i="1"/>
  <c r="I91" i="1"/>
  <c r="I103" i="1"/>
  <c r="H51" i="1"/>
  <c r="H52" i="1"/>
  <c r="I126" i="1"/>
  <c r="I69" i="1"/>
  <c r="I81" i="1"/>
  <c r="I92" i="1"/>
  <c r="I104" i="1"/>
  <c r="I115" i="1"/>
  <c r="I127" i="1"/>
  <c r="H90" i="1"/>
  <c r="I11" i="1"/>
  <c r="I56" i="1"/>
  <c r="I70" i="1"/>
  <c r="I82" i="1"/>
  <c r="I93" i="1"/>
  <c r="I105" i="1"/>
  <c r="I116" i="1"/>
  <c r="I128" i="1"/>
  <c r="H20" i="1"/>
  <c r="I57" i="1"/>
  <c r="I71" i="1"/>
  <c r="I83" i="1"/>
  <c r="I94" i="1"/>
  <c r="I106" i="1"/>
  <c r="I117" i="1"/>
  <c r="I129" i="1"/>
  <c r="H124" i="1"/>
  <c r="H67" i="1"/>
  <c r="I60" i="1"/>
  <c r="I72" i="1"/>
  <c r="I95" i="1"/>
  <c r="I107" i="1"/>
  <c r="I118" i="1"/>
  <c r="I130" i="1"/>
  <c r="H125" i="1"/>
  <c r="H31" i="1"/>
  <c r="I34" i="1"/>
  <c r="I61" i="1"/>
  <c r="I73" i="1"/>
  <c r="I84" i="1"/>
  <c r="I96" i="1"/>
  <c r="I108" i="1"/>
  <c r="I119" i="1"/>
  <c r="I131" i="1"/>
  <c r="H78" i="1"/>
  <c r="H102" i="1"/>
  <c r="H40" i="1"/>
  <c r="I62" i="1"/>
  <c r="I74" i="1"/>
  <c r="I85" i="1"/>
  <c r="I97" i="1"/>
  <c r="I109" i="1"/>
  <c r="I120" i="1"/>
  <c r="H66" i="1"/>
  <c r="H41" i="1"/>
  <c r="I63" i="1"/>
  <c r="I75" i="1"/>
  <c r="I86" i="1"/>
  <c r="I98" i="1"/>
  <c r="I110" i="1"/>
  <c r="I121" i="1"/>
  <c r="H89" i="1"/>
  <c r="I64" i="1"/>
  <c r="I76" i="1"/>
  <c r="I87" i="1"/>
  <c r="I99" i="1"/>
  <c r="I111" i="1"/>
  <c r="I122" i="1"/>
  <c r="I134" i="1"/>
  <c r="H101" i="1"/>
  <c r="H114" i="1"/>
  <c r="H43" i="1"/>
  <c r="I65" i="1"/>
  <c r="I77" i="1"/>
  <c r="I88" i="1"/>
  <c r="I100" i="1"/>
  <c r="I112" i="1"/>
  <c r="I123" i="1"/>
  <c r="I135" i="1"/>
  <c r="H113" i="1"/>
  <c r="H44" i="1"/>
  <c r="I136" i="1"/>
  <c r="H79" i="1"/>
  <c r="H45" i="1"/>
  <c r="H59" i="1"/>
  <c r="I58" i="1"/>
  <c r="H55" i="1"/>
  <c r="H54" i="1"/>
  <c r="H53" i="1"/>
  <c r="I50" i="1"/>
  <c r="I49" i="1"/>
  <c r="I48" i="1"/>
  <c r="I47" i="1"/>
  <c r="H15" i="1"/>
  <c r="I14" i="1"/>
  <c r="I12" i="1"/>
  <c r="H10" i="1"/>
  <c r="I39" i="1"/>
  <c r="H38" i="1"/>
  <c r="H37" i="1"/>
  <c r="I36" i="1"/>
  <c r="I35" i="1"/>
  <c r="I33" i="1"/>
  <c r="H32" i="1"/>
  <c r="I30" i="1"/>
  <c r="I29" i="1"/>
  <c r="H28" i="1"/>
  <c r="H27" i="1"/>
  <c r="H26" i="1"/>
  <c r="I25" i="1"/>
  <c r="I24" i="1"/>
  <c r="I23" i="1"/>
  <c r="H22" i="1"/>
  <c r="H21" i="1"/>
  <c r="I19" i="1"/>
  <c r="I18" i="1"/>
  <c r="H17" i="1"/>
  <c r="H16" i="1"/>
  <c r="H9" i="1"/>
  <c r="H8" i="1"/>
  <c r="H7" i="1"/>
  <c r="J5" i="1"/>
  <c r="H6" i="1"/>
  <c r="I6" i="1"/>
  <c r="I5" i="1"/>
  <c r="H5" i="1" l="1"/>
</calcChain>
</file>

<file path=xl/sharedStrings.xml><?xml version="1.0" encoding="utf-8"?>
<sst xmlns="http://schemas.openxmlformats.org/spreadsheetml/2006/main" count="207" uniqueCount="79">
  <si>
    <t>결과물</t>
  </si>
  <si>
    <t>세부 목표 일정</t>
  </si>
  <si>
    <t>업무상태</t>
  </si>
  <si>
    <t>5w</t>
  </si>
  <si>
    <t>2w</t>
  </si>
  <si>
    <t>3w</t>
  </si>
  <si>
    <t>4w</t>
  </si>
  <si>
    <t>SWE1</t>
    <phoneticPr fontId="1" type="noConversion"/>
  </si>
  <si>
    <t>SWE2</t>
    <phoneticPr fontId="1" type="noConversion"/>
  </si>
  <si>
    <t>Total
진행율</t>
    <phoneticPr fontId="1" type="noConversion"/>
  </si>
  <si>
    <t>4w</t>
    <phoneticPr fontId="1" type="noConversion"/>
  </si>
  <si>
    <t>5w</t>
    <phoneticPr fontId="1" type="noConversion"/>
  </si>
  <si>
    <t>3w</t>
    <phoneticPr fontId="1" type="noConversion"/>
  </si>
  <si>
    <t>7월</t>
    <phoneticPr fontId="1" type="noConversion"/>
  </si>
  <si>
    <t>1w</t>
    <phoneticPr fontId="1" type="noConversion"/>
  </si>
  <si>
    <t>8월</t>
    <phoneticPr fontId="1" type="noConversion"/>
  </si>
  <si>
    <t>1w</t>
    <phoneticPr fontId="1" type="noConversion"/>
  </si>
  <si>
    <t>컴포넌트</t>
    <phoneticPr fontId="1" type="noConversion"/>
  </si>
  <si>
    <t>진행율</t>
    <phoneticPr fontId="1" type="noConversion"/>
  </si>
  <si>
    <t>Progress</t>
    <phoneticPr fontId="1" type="noConversion"/>
  </si>
  <si>
    <t>SwADS
(Software Architecture Design Specification)</t>
    <phoneticPr fontId="1" type="noConversion"/>
  </si>
  <si>
    <t>Main</t>
    <phoneticPr fontId="1" type="noConversion"/>
  </si>
  <si>
    <t>Init</t>
    <phoneticPr fontId="1" type="noConversion"/>
  </si>
  <si>
    <t>Task</t>
    <phoneticPr fontId="1" type="noConversion"/>
  </si>
  <si>
    <t>Reset</t>
    <phoneticPr fontId="1" type="noConversion"/>
  </si>
  <si>
    <t>WatchDog Timer</t>
    <phoneticPr fontId="1" type="noConversion"/>
  </si>
  <si>
    <t>컴포지션</t>
    <phoneticPr fontId="1" type="noConversion"/>
  </si>
  <si>
    <t>State Management</t>
    <phoneticPr fontId="1" type="noConversion"/>
  </si>
  <si>
    <t>Protection</t>
    <phoneticPr fontId="1" type="noConversion"/>
  </si>
  <si>
    <t>Operation System</t>
    <phoneticPr fontId="1" type="noConversion"/>
  </si>
  <si>
    <t>LV Sensor Protection</t>
    <phoneticPr fontId="1" type="noConversion"/>
  </si>
  <si>
    <t>PCB Sensor Protection</t>
    <phoneticPr fontId="1" type="noConversion"/>
  </si>
  <si>
    <t>Temp Sensor Protection</t>
    <phoneticPr fontId="1" type="noConversion"/>
  </si>
  <si>
    <t>HV Sensor Protection</t>
    <phoneticPr fontId="1" type="noConversion"/>
  </si>
  <si>
    <t>Low Voltage Batterty
Protection</t>
    <phoneticPr fontId="1" type="noConversion"/>
  </si>
  <si>
    <t>High Voltage Battery
Protection</t>
    <phoneticPr fontId="1" type="noConversion"/>
  </si>
  <si>
    <t>Interlock Protection</t>
    <phoneticPr fontId="1" type="noConversion"/>
  </si>
  <si>
    <t>HV Over Current Fault
Detection</t>
    <phoneticPr fontId="1" type="noConversion"/>
  </si>
  <si>
    <t>PCB Temp Over Fault
Detection</t>
    <phoneticPr fontId="1" type="noConversion"/>
  </si>
  <si>
    <t>Core Temp Over Fault
Detection</t>
    <phoneticPr fontId="1" type="noConversion"/>
  </si>
  <si>
    <t>PTC Fault Detection</t>
    <phoneticPr fontId="1" type="noConversion"/>
  </si>
  <si>
    <t>IGBT Short Fault Detection</t>
    <phoneticPr fontId="1" type="noConversion"/>
  </si>
  <si>
    <t>IGBT Core Open Load
Fault Detection</t>
    <phoneticPr fontId="1" type="noConversion"/>
  </si>
  <si>
    <t>CSR Fault Detection</t>
    <phoneticPr fontId="1" type="noConversion"/>
  </si>
  <si>
    <t>Heater Control</t>
    <phoneticPr fontId="1" type="noConversion"/>
  </si>
  <si>
    <t>Communication</t>
    <phoneticPr fontId="1" type="noConversion"/>
  </si>
  <si>
    <t>Monitoring</t>
    <phoneticPr fontId="1" type="noConversion"/>
  </si>
  <si>
    <t>Control</t>
    <phoneticPr fontId="1" type="noConversion"/>
  </si>
  <si>
    <t>Process</t>
    <phoneticPr fontId="1" type="noConversion"/>
  </si>
  <si>
    <t>CAN Tx</t>
    <phoneticPr fontId="1" type="noConversion"/>
  </si>
  <si>
    <t>CAN Tx Process</t>
    <phoneticPr fontId="1" type="noConversion"/>
  </si>
  <si>
    <t>CAN Rx</t>
    <phoneticPr fontId="1" type="noConversion"/>
  </si>
  <si>
    <t>CAN Rx Process</t>
    <phoneticPr fontId="1" type="noConversion"/>
  </si>
  <si>
    <t>Sensing</t>
    <phoneticPr fontId="1" type="noConversion"/>
  </si>
  <si>
    <t>Sensing Process</t>
    <phoneticPr fontId="1" type="noConversion"/>
  </si>
  <si>
    <t>LV Sensor Response</t>
    <phoneticPr fontId="1" type="noConversion"/>
  </si>
  <si>
    <t>Low Voltage Input Pulse
Duty Process</t>
    <phoneticPr fontId="1" type="noConversion"/>
  </si>
  <si>
    <t>Conversion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</si>
  <si>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</si>
  <si>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</si>
  <si>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</si>
  <si>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</si>
  <si>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1w</t>
    <phoneticPr fontId="1" type="noConversion"/>
  </si>
  <si>
    <t>1w</t>
    <phoneticPr fontId="1" type="noConversion"/>
  </si>
  <si>
    <t>SwRS
(Software Requirement Specification)</t>
    <phoneticPr fontId="1" type="noConversion"/>
  </si>
  <si>
    <t>SWE3</t>
    <phoneticPr fontId="1" type="noConversion"/>
  </si>
  <si>
    <t>SWE4</t>
    <phoneticPr fontId="1" type="noConversion"/>
  </si>
  <si>
    <t>SwDDS
(Software Detail Design Specification)</t>
    <phoneticPr fontId="1" type="noConversion"/>
  </si>
  <si>
    <t>SwUTS
(Software Unit Test Specification)</t>
    <phoneticPr fontId="1" type="noConversion"/>
  </si>
  <si>
    <t>Conversion</t>
    <phoneticPr fontId="1" type="noConversion"/>
  </si>
  <si>
    <t>SWE5</t>
    <phoneticPr fontId="1" type="noConversion"/>
  </si>
  <si>
    <t>SwITS
(Software Integration Test Specification)</t>
    <phoneticPr fontId="1" type="noConversion"/>
  </si>
  <si>
    <t>SWE6</t>
    <phoneticPr fontId="1" type="noConversion"/>
  </si>
  <si>
    <t>SwQTS
(Software Qualification Test Specification)</t>
    <phoneticPr fontId="1" type="noConversion"/>
  </si>
  <si>
    <t>Functional List</t>
    <phoneticPr fontId="1" type="noConversion"/>
  </si>
  <si>
    <t>Process
Group</t>
    <phoneticPr fontId="1" type="noConversion"/>
  </si>
  <si>
    <t>QV PTC Heater SPQA 육성 프로젝트 Software Engineering Schedule</t>
    <phoneticPr fontId="1" type="noConversion"/>
  </si>
  <si>
    <t>■</t>
    <phoneticPr fontId="1" type="noConversion"/>
  </si>
  <si>
    <t>Low Voltage Battery
Protection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</si>
</sst>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1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27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4"/>
      <color theme="1"/>
      <name val="맑은 고딕"/>
      <family val="2"/>
    </font>
    <font>
      <b/>
      <sz val="15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434343"/>
        <bgColor rgb="FF43434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9" fontId="5" fillId="0" borderId="2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5" fillId="0" borderId="31" xfId="0" applyNumberFormat="1" applyFont="1" applyBorder="1" applyAlignment="1">
      <alignment horizontal="center" vertical="center"/>
    </xf>
    <xf numFmtId="9" fontId="2" fillId="7" borderId="20" xfId="0" applyNumberFormat="1" applyFont="1" applyFill="1" applyBorder="1" applyAlignment="1">
      <alignment vertical="center"/>
    </xf>
    <xf numFmtId="9" fontId="2" fillId="6" borderId="20" xfId="0" applyNumberFormat="1" applyFont="1" applyFill="1" applyBorder="1" applyAlignment="1">
      <alignment horizontal="center" vertical="center"/>
    </xf>
    <xf numFmtId="9" fontId="2" fillId="7" borderId="20" xfId="0" applyNumberFormat="1" applyFont="1" applyFill="1" applyBorder="1" applyAlignment="1">
      <alignment horizontal="right" vertical="center"/>
    </xf>
    <xf numFmtId="9" fontId="2" fillId="7" borderId="31" xfId="0" applyNumberFormat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42" xfId="0" applyNumberFormat="1" applyFont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 vertical="center"/>
    </xf>
    <xf numFmtId="9" fontId="2" fillId="0" borderId="30" xfId="0" applyNumberFormat="1" applyFont="1" applyBorder="1" applyAlignment="1">
      <alignment horizontal="center" vertical="center"/>
    </xf>
    <xf numFmtId="9" fontId="2" fillId="6" borderId="31" xfId="0" applyNumberFormat="1" applyFont="1" applyFill="1" applyBorder="1" applyAlignment="1">
      <alignment horizontal="center" vertical="center"/>
    </xf>
    <xf numFmtId="176" fontId="2" fillId="5" borderId="38" xfId="0" applyNumberFormat="1" applyFont="1" applyFill="1" applyBorder="1" applyAlignment="1">
      <alignment horizontal="center" vertical="center"/>
    </xf>
    <xf numFmtId="9" fontId="5" fillId="0" borderId="25" xfId="0" applyNumberFormat="1" applyFont="1" applyBorder="1" applyAlignment="1">
      <alignment horizontal="center" vertical="center"/>
    </xf>
    <xf numFmtId="176" fontId="2" fillId="5" borderId="39" xfId="0" applyNumberFormat="1" applyFont="1" applyFill="1" applyBorder="1" applyAlignment="1">
      <alignment horizontal="center" vertical="center"/>
    </xf>
    <xf numFmtId="176" fontId="2" fillId="5" borderId="54" xfId="0" applyNumberFormat="1" applyFont="1" applyFill="1" applyBorder="1" applyAlignment="1">
      <alignment horizontal="center" vertical="center"/>
    </xf>
    <xf numFmtId="176" fontId="2" fillId="5" borderId="41" xfId="0" applyNumberFormat="1" applyFont="1" applyFill="1" applyBorder="1" applyAlignment="1">
      <alignment horizontal="center" vertical="center"/>
    </xf>
    <xf numFmtId="176" fontId="2" fillId="5" borderId="29" xfId="0" applyNumberFormat="1" applyFont="1" applyFill="1" applyBorder="1" applyAlignment="1">
      <alignment horizontal="center" vertical="center"/>
    </xf>
    <xf numFmtId="176" fontId="2" fillId="5" borderId="40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9" fontId="2" fillId="6" borderId="50" xfId="0" applyNumberFormat="1" applyFont="1" applyFill="1" applyBorder="1" applyAlignment="1">
      <alignment horizontal="center" vertical="center"/>
    </xf>
    <xf numFmtId="9" fontId="2" fillId="6" borderId="4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9" fontId="2" fillId="6" borderId="49" xfId="0" applyNumberFormat="1" applyFont="1" applyFill="1" applyBorder="1" applyAlignment="1">
      <alignment horizontal="center" vertical="center"/>
    </xf>
    <xf numFmtId="9" fontId="2" fillId="6" borderId="51" xfId="0" applyNumberFormat="1" applyFont="1" applyFill="1" applyBorder="1" applyAlignment="1">
      <alignment horizontal="center" vertical="center"/>
    </xf>
    <xf numFmtId="9" fontId="2" fillId="6" borderId="59" xfId="0" applyNumberFormat="1" applyFont="1" applyFill="1" applyBorder="1" applyAlignment="1">
      <alignment horizontal="center" vertical="center"/>
    </xf>
    <xf numFmtId="9" fontId="2" fillId="6" borderId="60" xfId="0" applyNumberFormat="1" applyFont="1" applyFill="1" applyBorder="1" applyAlignment="1">
      <alignment horizontal="center" vertical="center"/>
    </xf>
    <xf numFmtId="9" fontId="2" fillId="6" borderId="61" xfId="0" applyNumberFormat="1" applyFont="1" applyFill="1" applyBorder="1" applyAlignment="1">
      <alignment horizontal="center" vertical="center"/>
    </xf>
    <xf numFmtId="0" fontId="2" fillId="4" borderId="62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center" vertical="center"/>
    </xf>
    <xf numFmtId="9" fontId="2" fillId="6" borderId="25" xfId="0" applyNumberFormat="1" applyFont="1" applyFill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9" fontId="2" fillId="6" borderId="66" xfId="0" applyNumberFormat="1" applyFont="1" applyFill="1" applyBorder="1" applyAlignment="1">
      <alignment horizontal="center" vertical="center"/>
    </xf>
    <xf numFmtId="9" fontId="2" fillId="6" borderId="67" xfId="0" applyNumberFormat="1" applyFont="1" applyFill="1" applyBorder="1" applyAlignment="1">
      <alignment horizontal="center" vertical="center"/>
    </xf>
    <xf numFmtId="0" fontId="2" fillId="4" borderId="68" xfId="0" applyFont="1" applyFill="1" applyBorder="1" applyAlignment="1">
      <alignment horizontal="center" vertical="center"/>
    </xf>
    <xf numFmtId="9" fontId="5" fillId="0" borderId="71" xfId="0" applyNumberFormat="1" applyFont="1" applyBorder="1" applyAlignment="1">
      <alignment horizontal="center" vertical="center"/>
    </xf>
    <xf numFmtId="9" fontId="5" fillId="0" borderId="50" xfId="0" applyNumberFormat="1" applyFont="1" applyBorder="1" applyAlignment="1">
      <alignment horizontal="center" vertical="center"/>
    </xf>
    <xf numFmtId="9" fontId="5" fillId="0" borderId="48" xfId="0" applyNumberFormat="1" applyFont="1" applyBorder="1" applyAlignment="1">
      <alignment horizontal="center" vertical="center"/>
    </xf>
    <xf numFmtId="176" fontId="2" fillId="5" borderId="69" xfId="0" applyNumberFormat="1" applyFont="1" applyFill="1" applyBorder="1" applyAlignment="1">
      <alignment horizontal="center" vertical="center"/>
    </xf>
    <xf numFmtId="176" fontId="2" fillId="5" borderId="72" xfId="0" applyNumberFormat="1" applyFont="1" applyFill="1" applyBorder="1" applyAlignment="1">
      <alignment horizontal="center" vertical="center"/>
    </xf>
    <xf numFmtId="176" fontId="2" fillId="5" borderId="27" xfId="0" applyNumberFormat="1" applyFont="1" applyFill="1" applyBorder="1" applyAlignment="1">
      <alignment horizontal="center" vertical="center"/>
    </xf>
    <xf numFmtId="176" fontId="2" fillId="5" borderId="74" xfId="0" applyNumberFormat="1" applyFont="1" applyFill="1" applyBorder="1" applyAlignment="1">
      <alignment horizontal="center" vertical="center"/>
    </xf>
    <xf numFmtId="176" fontId="2" fillId="5" borderId="73" xfId="0" applyNumberFormat="1" applyFont="1" applyFill="1" applyBorder="1" applyAlignment="1">
      <alignment horizontal="center" vertical="center"/>
    </xf>
    <xf numFmtId="0" fontId="2" fillId="10" borderId="45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4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9" fillId="0" borderId="58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63" xfId="0" applyFont="1" applyFill="1" applyBorder="1" applyAlignment="1">
      <alignment horizontal="center" vertical="center"/>
    </xf>
    <xf numFmtId="0" fontId="7" fillId="3" borderId="6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9" fontId="2" fillId="0" borderId="55" xfId="0" applyNumberFormat="1" applyFont="1" applyBorder="1" applyAlignment="1">
      <alignment horizontal="center" vertical="top"/>
    </xf>
    <xf numFmtId="9" fontId="2" fillId="0" borderId="56" xfId="0" applyNumberFormat="1" applyFont="1" applyBorder="1" applyAlignment="1">
      <alignment horizontal="center" vertical="top"/>
    </xf>
    <xf numFmtId="9" fontId="2" fillId="0" borderId="57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2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2" fillId="2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3" fillId="9" borderId="46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3" fillId="9" borderId="51" xfId="0" applyFont="1" applyFill="1" applyBorder="1" applyAlignment="1">
      <alignment horizontal="center" vertical="center"/>
    </xf>
    <xf numFmtId="0" fontId="3" fillId="9" borderId="6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37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70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/>
    </xf>
    <xf numFmtId="0" fontId="3" fillId="9" borderId="49" xfId="0" applyFont="1" applyFill="1" applyBorder="1" applyAlignment="1">
      <alignment horizontal="center" vertical="center"/>
    </xf>
    <xf numFmtId="0" fontId="3" fillId="9" borderId="66" xfId="0" applyFont="1" applyFill="1" applyBorder="1" applyAlignment="1">
      <alignment horizontal="center" vertical="center"/>
    </xf>
  </cellXfs>
  <cellStyles count="1">
    <cellStyle name="표준" xfId="0" builtinId="0"/>
  </cellStyles>
  <dxfs count="786"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63"/>
  <sheetViews>
    <sheetView tabSelected="1" zoomScale="85" zoomScaleNormal="85" workbookViewId="0">
      <selection activeCell="Q5" sqref="Q5"/>
    </sheetView>
  </sheetViews>
  <sheetFormatPr defaultColWidth="12.5703125" defaultRowHeight="15.75" customHeight="1" x14ac:dyDescent="0.2"/>
  <cols>
    <col min="1" max="1" width="4.85546875" style="2" customWidth="1"/>
    <col min="2" max="2" width="8.42578125" style="5" bestFit="1" customWidth="1"/>
    <col min="3" max="3" width="15.28515625" style="2" customWidth="1"/>
    <col min="4" max="4" width="14.85546875" style="2" customWidth="1"/>
    <col min="5" max="5" width="22.7109375" style="5" customWidth="1"/>
    <col min="6" max="6" width="15.28515625" style="5" bestFit="1" customWidth="1"/>
    <col min="7" max="7" width="7.85546875" style="2" customWidth="1"/>
    <col min="8" max="8" width="9.42578125" style="2" customWidth="1"/>
    <col min="9" max="9" width="25.7109375" style="2" customWidth="1"/>
    <col min="10" max="10" width="7.85546875" style="2" bestFit="1" customWidth="1"/>
    <col min="11" max="12" width="5.5703125" style="2" bestFit="1" customWidth="1"/>
    <col min="13" max="13" width="4.85546875" style="2" bestFit="1" customWidth="1"/>
    <col min="14" max="14" width="6.5703125" style="2" bestFit="1" customWidth="1"/>
    <col min="15" max="15" width="5.5703125" style="2" bestFit="1" customWidth="1"/>
    <col min="16" max="16" width="6.5703125" style="2" bestFit="1" customWidth="1"/>
    <col min="17" max="21" width="4.85546875" style="2" bestFit="1" customWidth="1"/>
    <col min="22" max="22" width="3.85546875" style="2" customWidth="1"/>
    <col min="23" max="25" width="3.42578125" style="2" customWidth="1"/>
    <col min="26" max="26" width="3.85546875" style="2" customWidth="1"/>
    <col min="27" max="30" width="3.42578125" style="2" customWidth="1"/>
    <col min="31" max="31" width="3.85546875" style="2" customWidth="1"/>
    <col min="32" max="34" width="3.42578125" style="2" customWidth="1"/>
    <col min="35" max="16384" width="12.5703125" style="2"/>
  </cols>
  <sheetData>
    <row r="1" spans="1:34" ht="23.25" customHeight="1" thickBot="1" x14ac:dyDescent="0.25">
      <c r="A1" s="38" t="s">
        <v>77</v>
      </c>
      <c r="B1" s="65" t="s">
        <v>76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</row>
    <row r="2" spans="1:34" ht="15.75" customHeight="1" x14ac:dyDescent="0.2">
      <c r="A2" s="3"/>
      <c r="B2" s="108" t="s">
        <v>75</v>
      </c>
      <c r="C2" s="84" t="s">
        <v>0</v>
      </c>
      <c r="D2" s="116" t="s">
        <v>74</v>
      </c>
      <c r="E2" s="117"/>
      <c r="F2" s="84" t="s">
        <v>1</v>
      </c>
      <c r="G2" s="84" t="s">
        <v>18</v>
      </c>
      <c r="H2" s="84" t="s">
        <v>2</v>
      </c>
      <c r="I2" s="73" t="s">
        <v>19</v>
      </c>
      <c r="J2" s="105" t="s">
        <v>9</v>
      </c>
      <c r="K2" s="67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ht="15.75" customHeight="1" thickBot="1" x14ac:dyDescent="0.25">
      <c r="A3" s="3"/>
      <c r="B3" s="109"/>
      <c r="C3" s="92"/>
      <c r="D3" s="87" t="s">
        <v>26</v>
      </c>
      <c r="E3" s="87" t="s">
        <v>17</v>
      </c>
      <c r="F3" s="85"/>
      <c r="G3" s="92"/>
      <c r="H3" s="92"/>
      <c r="I3" s="74"/>
      <c r="J3" s="106"/>
      <c r="K3" s="69" t="s">
        <v>13</v>
      </c>
      <c r="L3" s="69"/>
      <c r="M3" s="70"/>
      <c r="N3" s="71" t="s">
        <v>15</v>
      </c>
      <c r="O3" s="69"/>
      <c r="P3" s="72"/>
      <c r="Q3" s="69"/>
      <c r="R3" s="70"/>
      <c r="S3" s="82" t="s">
        <v>58</v>
      </c>
      <c r="T3" s="69"/>
      <c r="U3" s="83"/>
      <c r="V3" s="76" t="s">
        <v>59</v>
      </c>
      <c r="W3" s="77"/>
      <c r="X3" s="77"/>
      <c r="Y3" s="78"/>
      <c r="Z3" s="76" t="s">
        <v>60</v>
      </c>
      <c r="AA3" s="77"/>
      <c r="AB3" s="77"/>
      <c r="AC3" s="77"/>
      <c r="AD3" s="78"/>
      <c r="AE3" s="79" t="s">
        <v>61</v>
      </c>
      <c r="AF3" s="80"/>
      <c r="AG3" s="80"/>
      <c r="AH3" s="81"/>
    </row>
    <row r="4" spans="1:34" ht="15.75" customHeight="1" thickBot="1" x14ac:dyDescent="0.25">
      <c r="A4" s="3"/>
      <c r="B4" s="110"/>
      <c r="C4" s="93"/>
      <c r="D4" s="88"/>
      <c r="E4" s="88"/>
      <c r="F4" s="86"/>
      <c r="G4" s="93"/>
      <c r="H4" s="94"/>
      <c r="I4" s="75"/>
      <c r="J4" s="107"/>
      <c r="K4" s="11" t="s">
        <v>12</v>
      </c>
      <c r="L4" s="12" t="s">
        <v>10</v>
      </c>
      <c r="M4" s="44" t="s">
        <v>11</v>
      </c>
      <c r="N4" s="45" t="s">
        <v>14</v>
      </c>
      <c r="O4" s="47" t="s">
        <v>4</v>
      </c>
      <c r="P4" s="50" t="s">
        <v>5</v>
      </c>
      <c r="Q4" s="11" t="s">
        <v>6</v>
      </c>
      <c r="R4" s="12" t="s">
        <v>3</v>
      </c>
      <c r="S4" s="12" t="s">
        <v>16</v>
      </c>
      <c r="T4" s="12" t="s">
        <v>4</v>
      </c>
      <c r="U4" s="12" t="s">
        <v>5</v>
      </c>
      <c r="V4" s="12" t="s">
        <v>63</v>
      </c>
      <c r="W4" s="12" t="s">
        <v>4</v>
      </c>
      <c r="X4" s="12" t="s">
        <v>5</v>
      </c>
      <c r="Y4" s="12" t="s">
        <v>6</v>
      </c>
      <c r="Z4" s="12" t="s">
        <v>63</v>
      </c>
      <c r="AA4" s="12" t="s">
        <v>4</v>
      </c>
      <c r="AB4" s="12" t="s">
        <v>5</v>
      </c>
      <c r="AC4" s="12" t="s">
        <v>6</v>
      </c>
      <c r="AD4" s="12" t="s">
        <v>3</v>
      </c>
      <c r="AE4" s="12" t="s">
        <v>62</v>
      </c>
      <c r="AF4" s="12" t="s">
        <v>4</v>
      </c>
      <c r="AG4" s="12" t="s">
        <v>5</v>
      </c>
      <c r="AH4" s="12" t="s">
        <v>6</v>
      </c>
    </row>
    <row r="5" spans="1:34" ht="30" customHeight="1" x14ac:dyDescent="0.2">
      <c r="A5" s="4"/>
      <c r="B5" s="95" t="s">
        <v>7</v>
      </c>
      <c r="C5" s="62" t="s">
        <v>64</v>
      </c>
      <c r="D5" s="111" t="s">
        <v>29</v>
      </c>
      <c r="E5" s="112"/>
      <c r="F5" s="19">
        <v>45863</v>
      </c>
      <c r="G5" s="1">
        <f t="shared" ref="G5:G34" si="0">SUM(K5:U5)</f>
        <v>0.5</v>
      </c>
      <c r="H5" s="14" t="str">
        <f t="shared" ref="H5:H34" si="1">IF(G5=100%, "완료", IF(G5=0%, "예정", IF(AND(G5&gt;0%, G5&lt;100%), "진행중", "")))</f>
        <v>진행중</v>
      </c>
      <c r="I5" s="15">
        <f>G5</f>
        <v>0.5</v>
      </c>
      <c r="J5" s="89">
        <f>AVERAGE(G5:G39)</f>
        <v>0.47000000000000031</v>
      </c>
      <c r="K5" s="8">
        <v>0.05</v>
      </c>
      <c r="L5" s="36"/>
      <c r="M5" s="39"/>
      <c r="N5" s="46">
        <v>0.05</v>
      </c>
      <c r="O5" s="48">
        <v>0.2</v>
      </c>
      <c r="P5" s="41">
        <v>0.2</v>
      </c>
      <c r="Q5" s="36"/>
      <c r="R5" s="8"/>
      <c r="S5" s="8"/>
      <c r="T5" s="8"/>
      <c r="U5" s="8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30" customHeight="1" x14ac:dyDescent="0.2">
      <c r="A6" s="4"/>
      <c r="B6" s="96"/>
      <c r="C6" s="98"/>
      <c r="D6" s="102" t="s">
        <v>28</v>
      </c>
      <c r="E6" s="113"/>
      <c r="F6" s="21">
        <v>45863</v>
      </c>
      <c r="G6" s="1">
        <f t="shared" si="0"/>
        <v>1</v>
      </c>
      <c r="H6" s="14" t="str">
        <f t="shared" si="1"/>
        <v>완료</v>
      </c>
      <c r="I6" s="16">
        <f t="shared" ref="I6:I65" si="2">G6</f>
        <v>1</v>
      </c>
      <c r="J6" s="90"/>
      <c r="K6" s="8">
        <v>0.3</v>
      </c>
      <c r="L6" s="36">
        <v>0.7</v>
      </c>
      <c r="M6" s="39"/>
      <c r="N6" s="8"/>
      <c r="O6" s="48"/>
      <c r="P6" s="41"/>
      <c r="Q6" s="36"/>
      <c r="R6" s="8"/>
      <c r="S6" s="8"/>
      <c r="T6" s="8"/>
      <c r="U6" s="8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30" customHeight="1" x14ac:dyDescent="0.2">
      <c r="A7" s="4"/>
      <c r="B7" s="96"/>
      <c r="C7" s="98"/>
      <c r="D7" s="102" t="s">
        <v>44</v>
      </c>
      <c r="E7" s="113"/>
      <c r="F7" s="21">
        <v>45863</v>
      </c>
      <c r="G7" s="1">
        <f t="shared" si="0"/>
        <v>0.35000000000000003</v>
      </c>
      <c r="H7" s="14" t="str">
        <f t="shared" si="1"/>
        <v>진행중</v>
      </c>
      <c r="I7" s="16">
        <f>G7</f>
        <v>0.35000000000000003</v>
      </c>
      <c r="J7" s="90"/>
      <c r="K7" s="8">
        <v>0.05</v>
      </c>
      <c r="L7" s="36"/>
      <c r="M7" s="39"/>
      <c r="N7" s="8">
        <v>0.05</v>
      </c>
      <c r="O7" s="48">
        <v>0.2</v>
      </c>
      <c r="P7" s="41">
        <v>0.05</v>
      </c>
      <c r="Q7" s="36"/>
      <c r="R7" s="8"/>
      <c r="S7" s="8"/>
      <c r="T7" s="8"/>
      <c r="U7" s="8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30" customHeight="1" x14ac:dyDescent="0.2">
      <c r="A8" s="4"/>
      <c r="B8" s="96"/>
      <c r="C8" s="98"/>
      <c r="D8" s="102" t="s">
        <v>45</v>
      </c>
      <c r="E8" s="113"/>
      <c r="F8" s="21">
        <v>45863</v>
      </c>
      <c r="G8" s="1">
        <f t="shared" si="0"/>
        <v>0.35000000000000003</v>
      </c>
      <c r="H8" s="14" t="str">
        <f t="shared" si="1"/>
        <v>진행중</v>
      </c>
      <c r="I8" s="16">
        <f t="shared" si="2"/>
        <v>0.35000000000000003</v>
      </c>
      <c r="J8" s="90"/>
      <c r="K8" s="8">
        <v>0.05</v>
      </c>
      <c r="L8" s="36"/>
      <c r="M8" s="39"/>
      <c r="N8" s="8">
        <v>0.05</v>
      </c>
      <c r="O8" s="48">
        <v>0.2</v>
      </c>
      <c r="P8" s="41">
        <v>0.05</v>
      </c>
      <c r="Q8" s="36"/>
      <c r="R8" s="8"/>
      <c r="S8" s="8"/>
      <c r="T8" s="8"/>
      <c r="U8" s="8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30" customHeight="1" thickBot="1" x14ac:dyDescent="0.25">
      <c r="A9" s="4"/>
      <c r="B9" s="96"/>
      <c r="C9" s="98"/>
      <c r="D9" s="114" t="s">
        <v>46</v>
      </c>
      <c r="E9" s="115"/>
      <c r="F9" s="22">
        <v>45863</v>
      </c>
      <c r="G9" s="6">
        <f t="shared" si="0"/>
        <v>1</v>
      </c>
      <c r="H9" s="13" t="str">
        <f t="shared" si="1"/>
        <v>완료</v>
      </c>
      <c r="I9" s="17">
        <f>G9</f>
        <v>1</v>
      </c>
      <c r="J9" s="90"/>
      <c r="K9" s="8">
        <v>0.05</v>
      </c>
      <c r="L9" s="36">
        <v>0.3</v>
      </c>
      <c r="M9" s="39"/>
      <c r="N9" s="8">
        <v>0.25</v>
      </c>
      <c r="O9" s="48">
        <v>0.05</v>
      </c>
      <c r="P9" s="41">
        <v>0.35</v>
      </c>
      <c r="Q9" s="36"/>
      <c r="R9" s="8"/>
      <c r="S9" s="8"/>
      <c r="T9" s="8"/>
      <c r="U9" s="8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30" customHeight="1" x14ac:dyDescent="0.2">
      <c r="A10" s="4"/>
      <c r="B10" s="59" t="s">
        <v>8</v>
      </c>
      <c r="C10" s="62" t="s">
        <v>20</v>
      </c>
      <c r="D10" s="63" t="s">
        <v>29</v>
      </c>
      <c r="E10" s="26" t="s">
        <v>21</v>
      </c>
      <c r="F10" s="21">
        <v>45889</v>
      </c>
      <c r="G10" s="20">
        <f t="shared" si="0"/>
        <v>0.2</v>
      </c>
      <c r="H10" s="14" t="str">
        <f t="shared" si="1"/>
        <v>진행중</v>
      </c>
      <c r="I10" s="16">
        <f t="shared" si="2"/>
        <v>0.2</v>
      </c>
      <c r="J10" s="90"/>
      <c r="K10" s="8">
        <v>0.05</v>
      </c>
      <c r="L10" s="36"/>
      <c r="M10" s="39"/>
      <c r="N10" s="8"/>
      <c r="O10" s="48"/>
      <c r="P10" s="41">
        <v>0.15</v>
      </c>
      <c r="Q10" s="36"/>
      <c r="R10" s="8"/>
      <c r="S10" s="8"/>
      <c r="T10" s="8"/>
      <c r="U10" s="8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30" customHeight="1" x14ac:dyDescent="0.2">
      <c r="A11" s="4"/>
      <c r="B11" s="60"/>
      <c r="C11" s="63"/>
      <c r="D11" s="63"/>
      <c r="E11" s="27" t="s">
        <v>22</v>
      </c>
      <c r="F11" s="21">
        <v>45889</v>
      </c>
      <c r="G11" s="1">
        <f t="shared" si="0"/>
        <v>0.2</v>
      </c>
      <c r="H11" s="14" t="str">
        <f t="shared" si="1"/>
        <v>진행중</v>
      </c>
      <c r="I11" s="16">
        <f>G11</f>
        <v>0.2</v>
      </c>
      <c r="J11" s="90"/>
      <c r="K11" s="8">
        <v>0.05</v>
      </c>
      <c r="L11" s="36"/>
      <c r="M11" s="39"/>
      <c r="N11" s="8"/>
      <c r="O11" s="48"/>
      <c r="P11" s="41">
        <v>0.15</v>
      </c>
      <c r="Q11" s="36"/>
      <c r="R11" s="8"/>
      <c r="S11" s="8"/>
      <c r="T11" s="8"/>
      <c r="U11" s="8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30" customHeight="1" x14ac:dyDescent="0.2">
      <c r="A12" s="4"/>
      <c r="B12" s="60"/>
      <c r="C12" s="63"/>
      <c r="D12" s="63"/>
      <c r="E12" s="27" t="s">
        <v>23</v>
      </c>
      <c r="F12" s="21">
        <v>45889</v>
      </c>
      <c r="G12" s="1">
        <f t="shared" si="0"/>
        <v>0.2</v>
      </c>
      <c r="H12" s="14" t="str">
        <f t="shared" si="1"/>
        <v>진행중</v>
      </c>
      <c r="I12" s="16">
        <f t="shared" si="2"/>
        <v>0.2</v>
      </c>
      <c r="J12" s="90"/>
      <c r="K12" s="8">
        <v>0.05</v>
      </c>
      <c r="L12" s="36"/>
      <c r="M12" s="39"/>
      <c r="N12" s="8"/>
      <c r="O12" s="48"/>
      <c r="P12" s="41">
        <v>0.15</v>
      </c>
      <c r="Q12" s="36"/>
      <c r="R12" s="8"/>
      <c r="S12" s="8"/>
      <c r="T12" s="8"/>
      <c r="U12" s="8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30" customHeight="1" x14ac:dyDescent="0.2">
      <c r="A13" s="4"/>
      <c r="B13" s="60"/>
      <c r="C13" s="63"/>
      <c r="D13" s="63"/>
      <c r="E13" s="27" t="s">
        <v>27</v>
      </c>
      <c r="F13" s="21">
        <v>45889</v>
      </c>
      <c r="G13" s="1">
        <f t="shared" si="0"/>
        <v>0.2</v>
      </c>
      <c r="H13" s="14" t="str">
        <f t="shared" si="1"/>
        <v>진행중</v>
      </c>
      <c r="I13" s="16">
        <f>G13</f>
        <v>0.2</v>
      </c>
      <c r="J13" s="90"/>
      <c r="K13" s="8">
        <v>0.05</v>
      </c>
      <c r="L13" s="36"/>
      <c r="M13" s="39"/>
      <c r="N13" s="8"/>
      <c r="O13" s="48"/>
      <c r="P13" s="41">
        <v>0.15</v>
      </c>
      <c r="Q13" s="36"/>
      <c r="R13" s="8"/>
      <c r="S13" s="8"/>
      <c r="T13" s="8"/>
      <c r="U13" s="8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30" customHeight="1" x14ac:dyDescent="0.2">
      <c r="A14" s="4"/>
      <c r="B14" s="60"/>
      <c r="C14" s="63"/>
      <c r="D14" s="63"/>
      <c r="E14" s="27" t="s">
        <v>24</v>
      </c>
      <c r="F14" s="21">
        <v>45889</v>
      </c>
      <c r="G14" s="1">
        <f t="shared" si="0"/>
        <v>0.2</v>
      </c>
      <c r="H14" s="14" t="str">
        <f t="shared" si="1"/>
        <v>진행중</v>
      </c>
      <c r="I14" s="16">
        <f t="shared" si="2"/>
        <v>0.2</v>
      </c>
      <c r="J14" s="90"/>
      <c r="K14" s="8">
        <v>0.05</v>
      </c>
      <c r="L14" s="36"/>
      <c r="M14" s="39"/>
      <c r="N14" s="8"/>
      <c r="O14" s="48"/>
      <c r="P14" s="41">
        <v>0.15</v>
      </c>
      <c r="Q14" s="36"/>
      <c r="R14" s="8"/>
      <c r="S14" s="8"/>
      <c r="T14" s="8"/>
      <c r="U14" s="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30" customHeight="1" x14ac:dyDescent="0.2">
      <c r="A15" s="4"/>
      <c r="B15" s="60"/>
      <c r="C15" s="63"/>
      <c r="D15" s="99"/>
      <c r="E15" s="28" t="s">
        <v>25</v>
      </c>
      <c r="F15" s="21">
        <v>45889</v>
      </c>
      <c r="G15" s="1">
        <f t="shared" si="0"/>
        <v>0.2</v>
      </c>
      <c r="H15" s="14" t="str">
        <f t="shared" si="1"/>
        <v>진행중</v>
      </c>
      <c r="I15" s="16">
        <f>G15</f>
        <v>0.2</v>
      </c>
      <c r="J15" s="90"/>
      <c r="K15" s="8">
        <v>0.05</v>
      </c>
      <c r="L15" s="36"/>
      <c r="M15" s="39"/>
      <c r="N15" s="8"/>
      <c r="O15" s="48"/>
      <c r="P15" s="41">
        <v>0.15</v>
      </c>
      <c r="Q15" s="36"/>
      <c r="R15" s="8"/>
      <c r="S15" s="8"/>
      <c r="T15" s="8"/>
      <c r="U15" s="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30" customHeight="1" x14ac:dyDescent="0.2">
      <c r="A16" s="4"/>
      <c r="B16" s="60"/>
      <c r="C16" s="63"/>
      <c r="D16" s="100" t="s">
        <v>28</v>
      </c>
      <c r="E16" s="26" t="s">
        <v>32</v>
      </c>
      <c r="F16" s="21">
        <v>45889</v>
      </c>
      <c r="G16" s="1">
        <f t="shared" si="0"/>
        <v>0.55000000000000004</v>
      </c>
      <c r="H16" s="14" t="str">
        <f t="shared" si="1"/>
        <v>진행중</v>
      </c>
      <c r="I16" s="16">
        <f t="shared" si="2"/>
        <v>0.55000000000000004</v>
      </c>
      <c r="J16" s="90"/>
      <c r="K16" s="8">
        <v>0.1</v>
      </c>
      <c r="L16" s="36"/>
      <c r="M16" s="39"/>
      <c r="N16" s="8">
        <v>0.4</v>
      </c>
      <c r="O16" s="48"/>
      <c r="P16" s="41">
        <v>0.05</v>
      </c>
      <c r="Q16" s="36"/>
      <c r="R16" s="8"/>
      <c r="S16" s="8"/>
      <c r="T16" s="8"/>
      <c r="U16" s="8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ht="30" customHeight="1" x14ac:dyDescent="0.2">
      <c r="A17" s="4"/>
      <c r="B17" s="60"/>
      <c r="C17" s="63"/>
      <c r="D17" s="98"/>
      <c r="E17" s="26" t="s">
        <v>31</v>
      </c>
      <c r="F17" s="21">
        <v>45889</v>
      </c>
      <c r="G17" s="1">
        <f t="shared" si="0"/>
        <v>0.55000000000000004</v>
      </c>
      <c r="H17" s="14" t="str">
        <f t="shared" si="1"/>
        <v>진행중</v>
      </c>
      <c r="I17" s="16">
        <f>G17</f>
        <v>0.55000000000000004</v>
      </c>
      <c r="J17" s="90"/>
      <c r="K17" s="8">
        <v>0.1</v>
      </c>
      <c r="L17" s="36"/>
      <c r="M17" s="39"/>
      <c r="N17" s="8">
        <v>0.4</v>
      </c>
      <c r="O17" s="48"/>
      <c r="P17" s="41">
        <v>0.05</v>
      </c>
      <c r="Q17" s="36"/>
      <c r="R17" s="8"/>
      <c r="S17" s="8"/>
      <c r="T17" s="8"/>
      <c r="U17" s="8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ht="30" customHeight="1" x14ac:dyDescent="0.2">
      <c r="A18" s="4"/>
      <c r="B18" s="60"/>
      <c r="C18" s="63"/>
      <c r="D18" s="98"/>
      <c r="E18" s="27" t="s">
        <v>30</v>
      </c>
      <c r="F18" s="21">
        <v>45889</v>
      </c>
      <c r="G18" s="1">
        <f t="shared" si="0"/>
        <v>1</v>
      </c>
      <c r="H18" s="14" t="str">
        <f t="shared" si="1"/>
        <v>완료</v>
      </c>
      <c r="I18" s="16">
        <f t="shared" si="2"/>
        <v>1</v>
      </c>
      <c r="J18" s="90"/>
      <c r="K18" s="8">
        <v>0.1</v>
      </c>
      <c r="L18" s="36"/>
      <c r="M18" s="39"/>
      <c r="N18" s="8">
        <v>0.9</v>
      </c>
      <c r="O18" s="48"/>
      <c r="P18" s="41"/>
      <c r="Q18" s="36"/>
      <c r="R18" s="8"/>
      <c r="S18" s="8"/>
      <c r="T18" s="8"/>
      <c r="U18" s="8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ht="30" customHeight="1" x14ac:dyDescent="0.2">
      <c r="A19" s="4"/>
      <c r="B19" s="60"/>
      <c r="C19" s="63"/>
      <c r="D19" s="98"/>
      <c r="E19" s="29" t="s">
        <v>34</v>
      </c>
      <c r="F19" s="21">
        <v>45889</v>
      </c>
      <c r="G19" s="1">
        <f t="shared" si="0"/>
        <v>1</v>
      </c>
      <c r="H19" s="14" t="str">
        <f t="shared" si="1"/>
        <v>완료</v>
      </c>
      <c r="I19" s="16">
        <f>G19</f>
        <v>1</v>
      </c>
      <c r="J19" s="90"/>
      <c r="K19" s="8">
        <v>0.1</v>
      </c>
      <c r="L19" s="36"/>
      <c r="M19" s="39"/>
      <c r="N19" s="8">
        <v>0.9</v>
      </c>
      <c r="O19" s="48"/>
      <c r="P19" s="41"/>
      <c r="Q19" s="36"/>
      <c r="R19" s="8"/>
      <c r="S19" s="8"/>
      <c r="T19" s="8"/>
      <c r="U19" s="8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ht="30" customHeight="1" x14ac:dyDescent="0.2">
      <c r="A20" s="4"/>
      <c r="B20" s="60"/>
      <c r="C20" s="63"/>
      <c r="D20" s="98"/>
      <c r="E20" s="29" t="s">
        <v>36</v>
      </c>
      <c r="F20" s="21">
        <v>45889</v>
      </c>
      <c r="G20" s="1">
        <f t="shared" si="0"/>
        <v>0.55000000000000004</v>
      </c>
      <c r="H20" s="14" t="str">
        <f t="shared" si="1"/>
        <v>진행중</v>
      </c>
      <c r="I20" s="16">
        <f t="shared" si="2"/>
        <v>0.55000000000000004</v>
      </c>
      <c r="J20" s="90"/>
      <c r="K20" s="8">
        <v>0.1</v>
      </c>
      <c r="L20" s="36"/>
      <c r="M20" s="39"/>
      <c r="N20" s="8">
        <v>0.4</v>
      </c>
      <c r="O20" s="48"/>
      <c r="P20" s="41">
        <v>0.05</v>
      </c>
      <c r="Q20" s="36"/>
      <c r="R20" s="8"/>
      <c r="S20" s="8"/>
      <c r="T20" s="8"/>
      <c r="U20" s="8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 ht="30" customHeight="1" x14ac:dyDescent="0.2">
      <c r="A21" s="4"/>
      <c r="B21" s="60"/>
      <c r="C21" s="63"/>
      <c r="D21" s="98"/>
      <c r="E21" s="27" t="s">
        <v>33</v>
      </c>
      <c r="F21" s="21">
        <v>45889</v>
      </c>
      <c r="G21" s="1">
        <f t="shared" si="0"/>
        <v>1</v>
      </c>
      <c r="H21" s="14" t="str">
        <f t="shared" si="1"/>
        <v>완료</v>
      </c>
      <c r="I21" s="16">
        <f>G21</f>
        <v>1</v>
      </c>
      <c r="J21" s="90"/>
      <c r="K21" s="8">
        <v>0.1</v>
      </c>
      <c r="L21" s="36"/>
      <c r="M21" s="39"/>
      <c r="N21" s="8">
        <v>0.9</v>
      </c>
      <c r="O21" s="48"/>
      <c r="P21" s="41"/>
      <c r="Q21" s="36"/>
      <c r="R21" s="8"/>
      <c r="S21" s="8"/>
      <c r="T21" s="8"/>
      <c r="U21" s="8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ht="30" customHeight="1" x14ac:dyDescent="0.2">
      <c r="A22" s="4"/>
      <c r="B22" s="60"/>
      <c r="C22" s="63"/>
      <c r="D22" s="98"/>
      <c r="E22" s="29" t="s">
        <v>35</v>
      </c>
      <c r="F22" s="21">
        <v>45889</v>
      </c>
      <c r="G22" s="1">
        <f t="shared" si="0"/>
        <v>1</v>
      </c>
      <c r="H22" s="14" t="str">
        <f t="shared" si="1"/>
        <v>완료</v>
      </c>
      <c r="I22" s="16">
        <f t="shared" si="2"/>
        <v>1</v>
      </c>
      <c r="J22" s="90"/>
      <c r="K22" s="8">
        <v>0.1</v>
      </c>
      <c r="L22" s="36"/>
      <c r="M22" s="39"/>
      <c r="N22" s="8">
        <v>0.9</v>
      </c>
      <c r="O22" s="48"/>
      <c r="P22" s="41"/>
      <c r="Q22" s="36"/>
      <c r="R22" s="8"/>
      <c r="S22" s="8"/>
      <c r="T22" s="8"/>
      <c r="U22" s="8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ht="30" customHeight="1" x14ac:dyDescent="0.2">
      <c r="A23" s="4"/>
      <c r="B23" s="60"/>
      <c r="C23" s="63"/>
      <c r="D23" s="98"/>
      <c r="E23" s="29" t="s">
        <v>37</v>
      </c>
      <c r="F23" s="21">
        <v>45889</v>
      </c>
      <c r="G23" s="1">
        <f t="shared" si="0"/>
        <v>0.55000000000000004</v>
      </c>
      <c r="H23" s="14" t="str">
        <f t="shared" si="1"/>
        <v>진행중</v>
      </c>
      <c r="I23" s="16">
        <f t="shared" si="2"/>
        <v>0.55000000000000004</v>
      </c>
      <c r="J23" s="90"/>
      <c r="K23" s="8">
        <v>0.1</v>
      </c>
      <c r="L23" s="36"/>
      <c r="M23" s="39"/>
      <c r="N23" s="8">
        <v>0.4</v>
      </c>
      <c r="O23" s="48"/>
      <c r="P23" s="41">
        <v>0.05</v>
      </c>
      <c r="Q23" s="36"/>
      <c r="R23" s="8"/>
      <c r="S23" s="8"/>
      <c r="T23" s="8"/>
      <c r="U23" s="8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30" customHeight="1" x14ac:dyDescent="0.2">
      <c r="A24" s="4"/>
      <c r="B24" s="60"/>
      <c r="C24" s="63"/>
      <c r="D24" s="98"/>
      <c r="E24" s="29" t="s">
        <v>38</v>
      </c>
      <c r="F24" s="21">
        <v>45889</v>
      </c>
      <c r="G24" s="1">
        <f t="shared" si="0"/>
        <v>0.55000000000000004</v>
      </c>
      <c r="H24" s="14" t="str">
        <f t="shared" si="1"/>
        <v>진행중</v>
      </c>
      <c r="I24" s="16">
        <f>G24</f>
        <v>0.55000000000000004</v>
      </c>
      <c r="J24" s="90"/>
      <c r="K24" s="8">
        <v>0.1</v>
      </c>
      <c r="L24" s="36"/>
      <c r="M24" s="39"/>
      <c r="N24" s="8">
        <v>0.4</v>
      </c>
      <c r="O24" s="48"/>
      <c r="P24" s="41">
        <v>0.05</v>
      </c>
      <c r="Q24" s="36"/>
      <c r="R24" s="8"/>
      <c r="S24" s="8"/>
      <c r="T24" s="8"/>
      <c r="U24" s="8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ht="30" customHeight="1" x14ac:dyDescent="0.2">
      <c r="A25" s="4"/>
      <c r="B25" s="60"/>
      <c r="C25" s="63"/>
      <c r="D25" s="98"/>
      <c r="E25" s="29" t="s">
        <v>39</v>
      </c>
      <c r="F25" s="21">
        <v>45889</v>
      </c>
      <c r="G25" s="1">
        <f t="shared" si="0"/>
        <v>0.55000000000000004</v>
      </c>
      <c r="H25" s="14" t="str">
        <f t="shared" si="1"/>
        <v>진행중</v>
      </c>
      <c r="I25" s="16">
        <f t="shared" si="2"/>
        <v>0.55000000000000004</v>
      </c>
      <c r="J25" s="90"/>
      <c r="K25" s="8">
        <v>0.1</v>
      </c>
      <c r="L25" s="36"/>
      <c r="M25" s="39"/>
      <c r="N25" s="8">
        <v>0.4</v>
      </c>
      <c r="O25" s="48"/>
      <c r="P25" s="41">
        <v>0.05</v>
      </c>
      <c r="Q25" s="36"/>
      <c r="R25" s="8"/>
      <c r="S25" s="8"/>
      <c r="T25" s="8"/>
      <c r="U25" s="8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ht="30" customHeight="1" x14ac:dyDescent="0.2">
      <c r="A26" s="4"/>
      <c r="B26" s="60"/>
      <c r="C26" s="63"/>
      <c r="D26" s="98"/>
      <c r="E26" s="29" t="s">
        <v>41</v>
      </c>
      <c r="F26" s="21">
        <v>45889</v>
      </c>
      <c r="G26" s="1">
        <f t="shared" si="0"/>
        <v>0.55000000000000004</v>
      </c>
      <c r="H26" s="14" t="str">
        <f t="shared" si="1"/>
        <v>진행중</v>
      </c>
      <c r="I26" s="16">
        <f t="shared" si="2"/>
        <v>0.55000000000000004</v>
      </c>
      <c r="J26" s="90"/>
      <c r="K26" s="8">
        <v>0.1</v>
      </c>
      <c r="L26" s="36"/>
      <c r="M26" s="39"/>
      <c r="N26" s="8">
        <v>0.4</v>
      </c>
      <c r="O26" s="48"/>
      <c r="P26" s="41">
        <v>0.05</v>
      </c>
      <c r="Q26" s="36"/>
      <c r="R26" s="8"/>
      <c r="S26" s="8"/>
      <c r="T26" s="8"/>
      <c r="U26" s="8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30" customHeight="1" x14ac:dyDescent="0.2">
      <c r="A27" s="4"/>
      <c r="B27" s="60"/>
      <c r="C27" s="63"/>
      <c r="D27" s="98"/>
      <c r="E27" s="29" t="s">
        <v>42</v>
      </c>
      <c r="F27" s="21">
        <v>45889</v>
      </c>
      <c r="G27" s="1">
        <f t="shared" si="0"/>
        <v>0.55000000000000004</v>
      </c>
      <c r="H27" s="14" t="str">
        <f t="shared" si="1"/>
        <v>진행중</v>
      </c>
      <c r="I27" s="16">
        <f>G27</f>
        <v>0.55000000000000004</v>
      </c>
      <c r="J27" s="90"/>
      <c r="K27" s="8">
        <v>0.1</v>
      </c>
      <c r="L27" s="36"/>
      <c r="M27" s="39"/>
      <c r="N27" s="8">
        <v>0.4</v>
      </c>
      <c r="O27" s="48"/>
      <c r="P27" s="41">
        <v>0.05</v>
      </c>
      <c r="Q27" s="36"/>
      <c r="R27" s="8"/>
      <c r="S27" s="8"/>
      <c r="T27" s="8"/>
      <c r="U27" s="8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30" customHeight="1" x14ac:dyDescent="0.2">
      <c r="A28" s="4"/>
      <c r="B28" s="60"/>
      <c r="C28" s="63"/>
      <c r="D28" s="101"/>
      <c r="E28" s="28" t="s">
        <v>43</v>
      </c>
      <c r="F28" s="21">
        <v>45889</v>
      </c>
      <c r="G28" s="1">
        <f t="shared" si="0"/>
        <v>0.55000000000000004</v>
      </c>
      <c r="H28" s="14" t="str">
        <f t="shared" si="1"/>
        <v>진행중</v>
      </c>
      <c r="I28" s="16">
        <f t="shared" si="2"/>
        <v>0.55000000000000004</v>
      </c>
      <c r="J28" s="90"/>
      <c r="K28" s="8">
        <v>0.1</v>
      </c>
      <c r="L28" s="36"/>
      <c r="M28" s="39"/>
      <c r="N28" s="8">
        <v>0.4</v>
      </c>
      <c r="O28" s="48"/>
      <c r="P28" s="41">
        <v>0.05</v>
      </c>
      <c r="Q28" s="36"/>
      <c r="R28" s="8"/>
      <c r="S28" s="8"/>
      <c r="T28" s="8"/>
      <c r="U28" s="8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ht="30" customHeight="1" x14ac:dyDescent="0.2">
      <c r="A29" s="4"/>
      <c r="B29" s="60"/>
      <c r="C29" s="63"/>
      <c r="D29" s="98" t="s">
        <v>44</v>
      </c>
      <c r="E29" s="30" t="s">
        <v>47</v>
      </c>
      <c r="F29" s="21">
        <v>45889</v>
      </c>
      <c r="G29" s="1">
        <f t="shared" si="0"/>
        <v>0.05</v>
      </c>
      <c r="H29" s="14" t="str">
        <f t="shared" si="1"/>
        <v>진행중</v>
      </c>
      <c r="I29" s="16">
        <f>G29</f>
        <v>0.05</v>
      </c>
      <c r="J29" s="90"/>
      <c r="K29" s="8">
        <v>0.05</v>
      </c>
      <c r="L29" s="36"/>
      <c r="M29" s="39"/>
      <c r="N29" s="8"/>
      <c r="O29" s="48"/>
      <c r="P29" s="41"/>
      <c r="Q29" s="36"/>
      <c r="R29" s="8"/>
      <c r="S29" s="8"/>
      <c r="T29" s="8"/>
      <c r="U29" s="8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30" customHeight="1" x14ac:dyDescent="0.2">
      <c r="A30" s="4"/>
      <c r="B30" s="60"/>
      <c r="C30" s="63"/>
      <c r="D30" s="101"/>
      <c r="E30" s="28" t="s">
        <v>48</v>
      </c>
      <c r="F30" s="21">
        <v>45889</v>
      </c>
      <c r="G30" s="1">
        <f t="shared" si="0"/>
        <v>0.05</v>
      </c>
      <c r="H30" s="14" t="str">
        <f t="shared" si="1"/>
        <v>진행중</v>
      </c>
      <c r="I30" s="16">
        <f t="shared" si="2"/>
        <v>0.05</v>
      </c>
      <c r="J30" s="90"/>
      <c r="K30" s="8">
        <v>0.05</v>
      </c>
      <c r="L30" s="36"/>
      <c r="M30" s="39"/>
      <c r="N30" s="8"/>
      <c r="O30" s="48"/>
      <c r="P30" s="41"/>
      <c r="Q30" s="36"/>
      <c r="R30" s="8"/>
      <c r="S30" s="8"/>
      <c r="T30" s="8"/>
      <c r="U30" s="8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30" customHeight="1" x14ac:dyDescent="0.2">
      <c r="A31" s="4"/>
      <c r="B31" s="60"/>
      <c r="C31" s="63"/>
      <c r="D31" s="98" t="s">
        <v>45</v>
      </c>
      <c r="E31" s="31" t="s">
        <v>49</v>
      </c>
      <c r="F31" s="21">
        <v>45889</v>
      </c>
      <c r="G31" s="1">
        <f t="shared" si="0"/>
        <v>0.05</v>
      </c>
      <c r="H31" s="14" t="str">
        <f t="shared" si="1"/>
        <v>진행중</v>
      </c>
      <c r="I31" s="16">
        <f>G31</f>
        <v>0.05</v>
      </c>
      <c r="J31" s="90"/>
      <c r="K31" s="8">
        <v>0.05</v>
      </c>
      <c r="L31" s="36"/>
      <c r="M31" s="39"/>
      <c r="N31" s="8"/>
      <c r="O31" s="48"/>
      <c r="P31" s="41"/>
      <c r="Q31" s="36"/>
      <c r="R31" s="8"/>
      <c r="S31" s="8"/>
      <c r="T31" s="8"/>
      <c r="U31" s="8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30" customHeight="1" x14ac:dyDescent="0.2">
      <c r="A32" s="4"/>
      <c r="B32" s="60"/>
      <c r="C32" s="63"/>
      <c r="D32" s="98"/>
      <c r="E32" s="31" t="s">
        <v>50</v>
      </c>
      <c r="F32" s="21">
        <v>45889</v>
      </c>
      <c r="G32" s="1">
        <f t="shared" si="0"/>
        <v>0.05</v>
      </c>
      <c r="H32" s="14" t="str">
        <f t="shared" si="1"/>
        <v>진행중</v>
      </c>
      <c r="I32" s="16">
        <f t="shared" si="2"/>
        <v>0.05</v>
      </c>
      <c r="J32" s="90"/>
      <c r="K32" s="8">
        <v>0.05</v>
      </c>
      <c r="L32" s="36"/>
      <c r="M32" s="39"/>
      <c r="N32" s="8"/>
      <c r="O32" s="48"/>
      <c r="P32" s="41"/>
      <c r="Q32" s="36"/>
      <c r="R32" s="8"/>
      <c r="S32" s="8"/>
      <c r="T32" s="8"/>
      <c r="U32" s="8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30" customHeight="1" x14ac:dyDescent="0.2">
      <c r="A33" s="4"/>
      <c r="B33" s="60"/>
      <c r="C33" s="63"/>
      <c r="D33" s="98"/>
      <c r="E33" s="31" t="s">
        <v>51</v>
      </c>
      <c r="F33" s="21">
        <v>45889</v>
      </c>
      <c r="G33" s="1">
        <f t="shared" si="0"/>
        <v>0.05</v>
      </c>
      <c r="H33" s="14" t="str">
        <f t="shared" si="1"/>
        <v>진행중</v>
      </c>
      <c r="I33" s="16">
        <f>G33</f>
        <v>0.05</v>
      </c>
      <c r="J33" s="90"/>
      <c r="K33" s="8">
        <v>0.05</v>
      </c>
      <c r="L33" s="36"/>
      <c r="M33" s="39"/>
      <c r="N33" s="8"/>
      <c r="O33" s="48"/>
      <c r="P33" s="41"/>
      <c r="Q33" s="36"/>
      <c r="R33" s="8"/>
      <c r="S33" s="8"/>
      <c r="T33" s="8"/>
      <c r="U33" s="8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30" customHeight="1" x14ac:dyDescent="0.2">
      <c r="A34" s="4"/>
      <c r="B34" s="60"/>
      <c r="C34" s="63"/>
      <c r="D34" s="101"/>
      <c r="E34" s="31" t="s">
        <v>52</v>
      </c>
      <c r="F34" s="21">
        <v>45889</v>
      </c>
      <c r="G34" s="1">
        <f t="shared" si="0"/>
        <v>0.05</v>
      </c>
      <c r="H34" s="14" t="str">
        <f t="shared" si="1"/>
        <v>진행중</v>
      </c>
      <c r="I34" s="16">
        <f t="shared" si="2"/>
        <v>0.05</v>
      </c>
      <c r="J34" s="90"/>
      <c r="K34" s="8">
        <v>0.05</v>
      </c>
      <c r="L34" s="36"/>
      <c r="M34" s="39"/>
      <c r="N34" s="8"/>
      <c r="O34" s="48"/>
      <c r="P34" s="41"/>
      <c r="Q34" s="36"/>
      <c r="R34" s="8"/>
      <c r="S34" s="8"/>
      <c r="T34" s="8"/>
      <c r="U34" s="8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30" customHeight="1" x14ac:dyDescent="0.2">
      <c r="A35" s="4"/>
      <c r="B35" s="60"/>
      <c r="C35" s="63"/>
      <c r="D35" s="102" t="s">
        <v>46</v>
      </c>
      <c r="E35" s="32" t="s">
        <v>53</v>
      </c>
      <c r="F35" s="21">
        <v>45889</v>
      </c>
      <c r="G35" s="1">
        <f t="shared" ref="G35:G65" si="3">SUM(K35:U35)</f>
        <v>0.6</v>
      </c>
      <c r="H35" s="14" t="str">
        <f t="shared" ref="H35:H65" si="4">IF(G35=100%, "완료", IF(G35=0%, "예정", IF(AND(G35&gt;0%, G35&lt;100%), "진행중", "")))</f>
        <v>진행중</v>
      </c>
      <c r="I35" s="16">
        <f>G35</f>
        <v>0.6</v>
      </c>
      <c r="J35" s="90"/>
      <c r="K35" s="8">
        <v>0.05</v>
      </c>
      <c r="L35" s="36"/>
      <c r="M35" s="39"/>
      <c r="N35" s="8">
        <v>0.45</v>
      </c>
      <c r="O35" s="48"/>
      <c r="P35" s="41">
        <v>0.1</v>
      </c>
      <c r="Q35" s="36"/>
      <c r="R35" s="8"/>
      <c r="S35" s="8"/>
      <c r="T35" s="8"/>
      <c r="U35" s="8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30" customHeight="1" x14ac:dyDescent="0.2">
      <c r="A36" s="4"/>
      <c r="B36" s="60"/>
      <c r="C36" s="63"/>
      <c r="D36" s="103"/>
      <c r="E36" s="32" t="s">
        <v>54</v>
      </c>
      <c r="F36" s="21">
        <v>45889</v>
      </c>
      <c r="G36" s="1">
        <f t="shared" si="3"/>
        <v>0.6</v>
      </c>
      <c r="H36" s="14" t="str">
        <f t="shared" si="4"/>
        <v>진행중</v>
      </c>
      <c r="I36" s="16">
        <f t="shared" si="2"/>
        <v>0.6</v>
      </c>
      <c r="J36" s="90"/>
      <c r="K36" s="8">
        <v>0.05</v>
      </c>
      <c r="L36" s="36"/>
      <c r="M36" s="39"/>
      <c r="N36" s="8">
        <v>0.45</v>
      </c>
      <c r="O36" s="48"/>
      <c r="P36" s="41">
        <v>0.1</v>
      </c>
      <c r="Q36" s="36"/>
      <c r="R36" s="8"/>
      <c r="S36" s="8"/>
      <c r="T36" s="8"/>
      <c r="U36" s="8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30" customHeight="1" x14ac:dyDescent="0.2">
      <c r="A37" s="4"/>
      <c r="B37" s="60"/>
      <c r="C37" s="63"/>
      <c r="D37" s="103"/>
      <c r="E37" s="32" t="s">
        <v>55</v>
      </c>
      <c r="F37" s="21">
        <v>45889</v>
      </c>
      <c r="G37" s="1">
        <f t="shared" si="3"/>
        <v>0.6</v>
      </c>
      <c r="H37" s="14" t="str">
        <f t="shared" si="4"/>
        <v>진행중</v>
      </c>
      <c r="I37" s="16">
        <f>G37</f>
        <v>0.6</v>
      </c>
      <c r="J37" s="90"/>
      <c r="K37" s="8">
        <v>0.05</v>
      </c>
      <c r="L37" s="36"/>
      <c r="M37" s="39"/>
      <c r="N37" s="8">
        <v>0.45</v>
      </c>
      <c r="O37" s="48"/>
      <c r="P37" s="41">
        <v>0.1</v>
      </c>
      <c r="Q37" s="36"/>
      <c r="R37" s="8"/>
      <c r="S37" s="8"/>
      <c r="T37" s="8"/>
      <c r="U37" s="8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30" customHeight="1" x14ac:dyDescent="0.2">
      <c r="A38" s="4"/>
      <c r="B38" s="60"/>
      <c r="C38" s="63"/>
      <c r="D38" s="103"/>
      <c r="E38" s="33" t="s">
        <v>56</v>
      </c>
      <c r="F38" s="21">
        <v>45889</v>
      </c>
      <c r="G38" s="1">
        <f t="shared" si="3"/>
        <v>0.5</v>
      </c>
      <c r="H38" s="14" t="str">
        <f t="shared" si="4"/>
        <v>진행중</v>
      </c>
      <c r="I38" s="16">
        <f t="shared" si="2"/>
        <v>0.5</v>
      </c>
      <c r="J38" s="90"/>
      <c r="K38" s="8">
        <v>0.05</v>
      </c>
      <c r="L38" s="36"/>
      <c r="M38" s="39"/>
      <c r="N38" s="8"/>
      <c r="O38" s="48"/>
      <c r="P38" s="41">
        <v>0.45</v>
      </c>
      <c r="Q38" s="36"/>
      <c r="R38" s="8"/>
      <c r="S38" s="8"/>
      <c r="T38" s="8"/>
      <c r="U38" s="8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30" customHeight="1" thickBot="1" x14ac:dyDescent="0.25">
      <c r="A39" s="4"/>
      <c r="B39" s="61"/>
      <c r="C39" s="64"/>
      <c r="D39" s="104"/>
      <c r="E39" s="34" t="s">
        <v>69</v>
      </c>
      <c r="F39" s="24">
        <v>45889</v>
      </c>
      <c r="G39" s="6">
        <f t="shared" si="3"/>
        <v>0.5</v>
      </c>
      <c r="H39" s="13" t="str">
        <f t="shared" si="4"/>
        <v>진행중</v>
      </c>
      <c r="I39" s="17">
        <f>G39</f>
        <v>0.5</v>
      </c>
      <c r="J39" s="90"/>
      <c r="K39" s="8">
        <v>0.05</v>
      </c>
      <c r="L39" s="36"/>
      <c r="M39" s="39"/>
      <c r="N39" s="8"/>
      <c r="O39" s="48"/>
      <c r="P39" s="41">
        <v>0.45</v>
      </c>
      <c r="Q39" s="36"/>
      <c r="R39" s="8"/>
      <c r="S39" s="8"/>
      <c r="T39" s="8"/>
      <c r="U39" s="8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30" customHeight="1" x14ac:dyDescent="0.2">
      <c r="B40" s="95" t="s">
        <v>65</v>
      </c>
      <c r="C40" s="62" t="s">
        <v>67</v>
      </c>
      <c r="D40" s="62" t="s">
        <v>29</v>
      </c>
      <c r="E40" s="35" t="s">
        <v>21</v>
      </c>
      <c r="F40" s="21">
        <v>45908</v>
      </c>
      <c r="G40" s="20">
        <f t="shared" si="3"/>
        <v>0</v>
      </c>
      <c r="H40" s="14" t="str">
        <f t="shared" si="4"/>
        <v>예정</v>
      </c>
      <c r="I40" s="16">
        <f t="shared" si="2"/>
        <v>0</v>
      </c>
      <c r="J40" s="90"/>
      <c r="K40" s="8"/>
      <c r="L40" s="36"/>
      <c r="M40" s="39"/>
      <c r="N40" s="8"/>
      <c r="O40" s="48"/>
      <c r="P40" s="41"/>
      <c r="Q40" s="36"/>
      <c r="R40" s="8"/>
      <c r="S40" s="8"/>
      <c r="T40" s="8"/>
      <c r="U40" s="8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30" customHeight="1" x14ac:dyDescent="0.2">
      <c r="B41" s="96"/>
      <c r="C41" s="98"/>
      <c r="D41" s="63"/>
      <c r="E41" s="27" t="s">
        <v>22</v>
      </c>
      <c r="F41" s="21">
        <v>45908</v>
      </c>
      <c r="G41" s="1">
        <f t="shared" si="3"/>
        <v>0</v>
      </c>
      <c r="H41" s="14" t="str">
        <f t="shared" si="4"/>
        <v>예정</v>
      </c>
      <c r="I41" s="16">
        <f>G41</f>
        <v>0</v>
      </c>
      <c r="J41" s="90"/>
      <c r="K41" s="8"/>
      <c r="L41" s="36"/>
      <c r="M41" s="39"/>
      <c r="N41" s="8"/>
      <c r="O41" s="48"/>
      <c r="P41" s="41"/>
      <c r="Q41" s="36"/>
      <c r="R41" s="8"/>
      <c r="S41" s="8"/>
      <c r="T41" s="8"/>
      <c r="U41" s="8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30" customHeight="1" x14ac:dyDescent="0.2">
      <c r="B42" s="96"/>
      <c r="C42" s="98"/>
      <c r="D42" s="63"/>
      <c r="E42" s="27" t="s">
        <v>23</v>
      </c>
      <c r="F42" s="21">
        <v>45908</v>
      </c>
      <c r="G42" s="1">
        <f t="shared" si="3"/>
        <v>0</v>
      </c>
      <c r="H42" s="14" t="str">
        <f t="shared" si="4"/>
        <v>예정</v>
      </c>
      <c r="I42" s="16">
        <f t="shared" si="2"/>
        <v>0</v>
      </c>
      <c r="J42" s="90"/>
      <c r="K42" s="8"/>
      <c r="L42" s="36"/>
      <c r="M42" s="39"/>
      <c r="N42" s="8"/>
      <c r="O42" s="48"/>
      <c r="P42" s="41"/>
      <c r="Q42" s="36"/>
      <c r="R42" s="8"/>
      <c r="S42" s="8"/>
      <c r="T42" s="8"/>
      <c r="U42" s="8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30" customHeight="1" x14ac:dyDescent="0.2">
      <c r="B43" s="96"/>
      <c r="C43" s="98"/>
      <c r="D43" s="63"/>
      <c r="E43" s="27" t="s">
        <v>27</v>
      </c>
      <c r="F43" s="21">
        <v>45908</v>
      </c>
      <c r="G43" s="1">
        <f t="shared" si="3"/>
        <v>0</v>
      </c>
      <c r="H43" s="14" t="str">
        <f t="shared" si="4"/>
        <v>예정</v>
      </c>
      <c r="I43" s="16">
        <f>G43</f>
        <v>0</v>
      </c>
      <c r="J43" s="90"/>
      <c r="K43" s="8"/>
      <c r="L43" s="36"/>
      <c r="M43" s="39"/>
      <c r="N43" s="8"/>
      <c r="O43" s="48"/>
      <c r="P43" s="41"/>
      <c r="Q43" s="36"/>
      <c r="R43" s="8"/>
      <c r="S43" s="8"/>
      <c r="T43" s="8"/>
      <c r="U43" s="8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30" customHeight="1" x14ac:dyDescent="0.2">
      <c r="B44" s="96"/>
      <c r="C44" s="98"/>
      <c r="D44" s="63"/>
      <c r="E44" s="27" t="s">
        <v>24</v>
      </c>
      <c r="F44" s="21">
        <v>45908</v>
      </c>
      <c r="G44" s="1">
        <f t="shared" si="3"/>
        <v>0</v>
      </c>
      <c r="H44" s="14" t="str">
        <f t="shared" si="4"/>
        <v>예정</v>
      </c>
      <c r="I44" s="16">
        <f t="shared" si="2"/>
        <v>0</v>
      </c>
      <c r="J44" s="90"/>
      <c r="K44" s="8"/>
      <c r="L44" s="36"/>
      <c r="M44" s="39"/>
      <c r="N44" s="8"/>
      <c r="O44" s="48"/>
      <c r="P44" s="41"/>
      <c r="Q44" s="36"/>
      <c r="R44" s="8"/>
      <c r="S44" s="8"/>
      <c r="T44" s="8"/>
      <c r="U44" s="8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ht="30" customHeight="1" x14ac:dyDescent="0.2">
      <c r="B45" s="96"/>
      <c r="C45" s="98"/>
      <c r="D45" s="99"/>
      <c r="E45" s="28" t="s">
        <v>25</v>
      </c>
      <c r="F45" s="21">
        <v>45908</v>
      </c>
      <c r="G45" s="1">
        <f t="shared" si="3"/>
        <v>0</v>
      </c>
      <c r="H45" s="14" t="str">
        <f t="shared" si="4"/>
        <v>예정</v>
      </c>
      <c r="I45" s="16">
        <f>G45</f>
        <v>0</v>
      </c>
      <c r="J45" s="90"/>
      <c r="K45" s="8"/>
      <c r="L45" s="36"/>
      <c r="M45" s="39"/>
      <c r="N45" s="8"/>
      <c r="O45" s="48"/>
      <c r="P45" s="41"/>
      <c r="Q45" s="36"/>
      <c r="R45" s="8"/>
      <c r="S45" s="8"/>
      <c r="T45" s="8"/>
      <c r="U45" s="8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30" customHeight="1" x14ac:dyDescent="0.2">
      <c r="B46" s="96"/>
      <c r="C46" s="98"/>
      <c r="D46" s="100" t="s">
        <v>28</v>
      </c>
      <c r="E46" s="26" t="s">
        <v>32</v>
      </c>
      <c r="F46" s="21">
        <v>45908</v>
      </c>
      <c r="G46" s="1">
        <f t="shared" si="3"/>
        <v>0.1</v>
      </c>
      <c r="H46" s="14" t="str">
        <f t="shared" si="4"/>
        <v>진행중</v>
      </c>
      <c r="I46" s="16">
        <f t="shared" si="2"/>
        <v>0.1</v>
      </c>
      <c r="J46" s="90"/>
      <c r="K46" s="8">
        <v>0.05</v>
      </c>
      <c r="L46" s="36"/>
      <c r="M46" s="39"/>
      <c r="N46" s="8"/>
      <c r="O46" s="48"/>
      <c r="P46" s="41">
        <v>0.05</v>
      </c>
      <c r="Q46" s="36"/>
      <c r="R46" s="8"/>
      <c r="S46" s="8"/>
      <c r="T46" s="8"/>
      <c r="U46" s="8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30" customHeight="1" x14ac:dyDescent="0.2">
      <c r="B47" s="96"/>
      <c r="C47" s="98"/>
      <c r="D47" s="98"/>
      <c r="E47" s="26" t="s">
        <v>31</v>
      </c>
      <c r="F47" s="21">
        <v>45908</v>
      </c>
      <c r="G47" s="1">
        <f t="shared" si="3"/>
        <v>0.1</v>
      </c>
      <c r="H47" s="14" t="str">
        <f t="shared" si="4"/>
        <v>진행중</v>
      </c>
      <c r="I47" s="16">
        <f>G47</f>
        <v>0.1</v>
      </c>
      <c r="J47" s="90"/>
      <c r="K47" s="8">
        <v>0.05</v>
      </c>
      <c r="L47" s="36"/>
      <c r="M47" s="39"/>
      <c r="N47" s="8"/>
      <c r="O47" s="48"/>
      <c r="P47" s="41">
        <v>0.05</v>
      </c>
      <c r="Q47" s="36"/>
      <c r="R47" s="8"/>
      <c r="S47" s="8"/>
      <c r="T47" s="8"/>
      <c r="U47" s="8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30" customHeight="1" x14ac:dyDescent="0.2">
      <c r="B48" s="96"/>
      <c r="C48" s="98"/>
      <c r="D48" s="98"/>
      <c r="E48" s="27" t="s">
        <v>30</v>
      </c>
      <c r="F48" s="21">
        <v>45908</v>
      </c>
      <c r="G48" s="1">
        <f t="shared" si="3"/>
        <v>1</v>
      </c>
      <c r="H48" s="14" t="str">
        <f t="shared" si="4"/>
        <v>완료</v>
      </c>
      <c r="I48" s="16">
        <f t="shared" si="2"/>
        <v>1</v>
      </c>
      <c r="J48" s="90"/>
      <c r="K48" s="8">
        <v>0.05</v>
      </c>
      <c r="L48" s="36"/>
      <c r="M48" s="39"/>
      <c r="N48" s="8">
        <v>0.95</v>
      </c>
      <c r="O48" s="48"/>
      <c r="P48" s="41"/>
      <c r="Q48" s="36"/>
      <c r="R48" s="8"/>
      <c r="S48" s="8"/>
      <c r="T48" s="8"/>
      <c r="U48" s="8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2:34" ht="30" customHeight="1" x14ac:dyDescent="0.2">
      <c r="B49" s="96"/>
      <c r="C49" s="98"/>
      <c r="D49" s="98"/>
      <c r="E49" s="29" t="s">
        <v>34</v>
      </c>
      <c r="F49" s="21">
        <v>45908</v>
      </c>
      <c r="G49" s="1">
        <f t="shared" si="3"/>
        <v>1</v>
      </c>
      <c r="H49" s="14" t="str">
        <f t="shared" si="4"/>
        <v>완료</v>
      </c>
      <c r="I49" s="16">
        <f>G49</f>
        <v>1</v>
      </c>
      <c r="J49" s="90"/>
      <c r="K49" s="8">
        <v>0.05</v>
      </c>
      <c r="L49" s="36"/>
      <c r="M49" s="39"/>
      <c r="N49" s="8">
        <v>0.95</v>
      </c>
      <c r="O49" s="48"/>
      <c r="P49" s="41"/>
      <c r="Q49" s="36"/>
      <c r="R49" s="8"/>
      <c r="S49" s="8"/>
      <c r="T49" s="8"/>
      <c r="U49" s="8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2:34" ht="30" customHeight="1" x14ac:dyDescent="0.2">
      <c r="B50" s="96"/>
      <c r="C50" s="98"/>
      <c r="D50" s="98"/>
      <c r="E50" s="29" t="s">
        <v>36</v>
      </c>
      <c r="F50" s="21">
        <v>45908</v>
      </c>
      <c r="G50" s="1">
        <f t="shared" si="3"/>
        <v>0.1</v>
      </c>
      <c r="H50" s="14" t="str">
        <f t="shared" si="4"/>
        <v>진행중</v>
      </c>
      <c r="I50" s="16">
        <f t="shared" si="2"/>
        <v>0.1</v>
      </c>
      <c r="J50" s="90"/>
      <c r="K50" s="8">
        <v>0.05</v>
      </c>
      <c r="L50" s="36"/>
      <c r="M50" s="39"/>
      <c r="N50" s="8"/>
      <c r="O50" s="48"/>
      <c r="P50" s="41">
        <v>0.05</v>
      </c>
      <c r="Q50" s="36"/>
      <c r="R50" s="8"/>
      <c r="S50" s="8"/>
      <c r="T50" s="8"/>
      <c r="U50" s="8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2:34" ht="30" customHeight="1" x14ac:dyDescent="0.2">
      <c r="B51" s="96"/>
      <c r="C51" s="98"/>
      <c r="D51" s="98"/>
      <c r="E51" s="27" t="s">
        <v>33</v>
      </c>
      <c r="F51" s="21">
        <v>45908</v>
      </c>
      <c r="G51" s="1">
        <f t="shared" si="3"/>
        <v>1</v>
      </c>
      <c r="H51" s="14" t="str">
        <f t="shared" si="4"/>
        <v>완료</v>
      </c>
      <c r="I51" s="16">
        <f>G51</f>
        <v>1</v>
      </c>
      <c r="J51" s="90"/>
      <c r="K51" s="8">
        <v>0.05</v>
      </c>
      <c r="L51" s="36"/>
      <c r="M51" s="39"/>
      <c r="N51" s="8">
        <v>0.95</v>
      </c>
      <c r="O51" s="48"/>
      <c r="P51" s="41"/>
      <c r="Q51" s="36"/>
      <c r="R51" s="8"/>
      <c r="S51" s="8"/>
      <c r="T51" s="8"/>
      <c r="U51" s="8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2:34" ht="30" customHeight="1" x14ac:dyDescent="0.2">
      <c r="B52" s="96"/>
      <c r="C52" s="98"/>
      <c r="D52" s="98"/>
      <c r="E52" s="29" t="s">
        <v>35</v>
      </c>
      <c r="F52" s="21">
        <v>45908</v>
      </c>
      <c r="G52" s="1">
        <f t="shared" si="3"/>
        <v>1</v>
      </c>
      <c r="H52" s="14" t="str">
        <f t="shared" si="4"/>
        <v>완료</v>
      </c>
      <c r="I52" s="16">
        <f t="shared" si="2"/>
        <v>1</v>
      </c>
      <c r="J52" s="90"/>
      <c r="K52" s="8">
        <v>0.05</v>
      </c>
      <c r="L52" s="36"/>
      <c r="M52" s="39"/>
      <c r="N52" s="8">
        <v>0.95</v>
      </c>
      <c r="O52" s="48"/>
      <c r="P52" s="41"/>
      <c r="Q52" s="36"/>
      <c r="R52" s="8"/>
      <c r="S52" s="8"/>
      <c r="T52" s="8"/>
      <c r="U52" s="8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2:34" ht="30" customHeight="1" x14ac:dyDescent="0.2">
      <c r="B53" s="96"/>
      <c r="C53" s="98"/>
      <c r="D53" s="98"/>
      <c r="E53" s="29" t="s">
        <v>37</v>
      </c>
      <c r="F53" s="21">
        <v>45908</v>
      </c>
      <c r="G53" s="1">
        <f t="shared" si="3"/>
        <v>0.1</v>
      </c>
      <c r="H53" s="14" t="str">
        <f t="shared" si="4"/>
        <v>진행중</v>
      </c>
      <c r="I53" s="16">
        <f t="shared" si="2"/>
        <v>0.1</v>
      </c>
      <c r="J53" s="90"/>
      <c r="K53" s="8">
        <v>0.05</v>
      </c>
      <c r="L53" s="36"/>
      <c r="M53" s="39"/>
      <c r="N53" s="8"/>
      <c r="O53" s="48"/>
      <c r="P53" s="41">
        <v>0.05</v>
      </c>
      <c r="Q53" s="36"/>
      <c r="R53" s="8"/>
      <c r="S53" s="8"/>
      <c r="T53" s="8"/>
      <c r="U53" s="8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2:34" ht="30" customHeight="1" x14ac:dyDescent="0.2">
      <c r="B54" s="96"/>
      <c r="C54" s="98"/>
      <c r="D54" s="98"/>
      <c r="E54" s="29" t="s">
        <v>38</v>
      </c>
      <c r="F54" s="21">
        <v>45908</v>
      </c>
      <c r="G54" s="1">
        <f t="shared" si="3"/>
        <v>0.1</v>
      </c>
      <c r="H54" s="14" t="str">
        <f t="shared" si="4"/>
        <v>진행중</v>
      </c>
      <c r="I54" s="16">
        <f>G54</f>
        <v>0.1</v>
      </c>
      <c r="J54" s="90"/>
      <c r="K54" s="8">
        <v>0.05</v>
      </c>
      <c r="L54" s="36"/>
      <c r="M54" s="39"/>
      <c r="N54" s="8"/>
      <c r="O54" s="48"/>
      <c r="P54" s="41">
        <v>0.05</v>
      </c>
      <c r="Q54" s="36"/>
      <c r="R54" s="8"/>
      <c r="S54" s="8"/>
      <c r="T54" s="8"/>
      <c r="U54" s="8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2:34" ht="30" customHeight="1" x14ac:dyDescent="0.2">
      <c r="B55" s="96"/>
      <c r="C55" s="98"/>
      <c r="D55" s="98"/>
      <c r="E55" s="29" t="s">
        <v>39</v>
      </c>
      <c r="F55" s="21">
        <v>45908</v>
      </c>
      <c r="G55" s="1">
        <f t="shared" si="3"/>
        <v>0.1</v>
      </c>
      <c r="H55" s="14" t="str">
        <f t="shared" si="4"/>
        <v>진행중</v>
      </c>
      <c r="I55" s="16">
        <f t="shared" si="2"/>
        <v>0.1</v>
      </c>
      <c r="J55" s="90"/>
      <c r="K55" s="8">
        <v>0.05</v>
      </c>
      <c r="L55" s="36"/>
      <c r="M55" s="39"/>
      <c r="N55" s="8"/>
      <c r="O55" s="48"/>
      <c r="P55" s="41">
        <v>0.05</v>
      </c>
      <c r="Q55" s="36"/>
      <c r="R55" s="8"/>
      <c r="S55" s="8"/>
      <c r="T55" s="8"/>
      <c r="U55" s="8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2:34" ht="30" customHeight="1" x14ac:dyDescent="0.2">
      <c r="B56" s="96"/>
      <c r="C56" s="98"/>
      <c r="D56" s="98"/>
      <c r="E56" s="30" t="s">
        <v>40</v>
      </c>
      <c r="F56" s="21">
        <v>45908</v>
      </c>
      <c r="G56" s="1">
        <f t="shared" si="3"/>
        <v>0.1</v>
      </c>
      <c r="H56" s="14" t="str">
        <f t="shared" si="4"/>
        <v>진행중</v>
      </c>
      <c r="I56" s="16">
        <f>G56</f>
        <v>0.1</v>
      </c>
      <c r="J56" s="90"/>
      <c r="K56" s="8">
        <v>0.05</v>
      </c>
      <c r="L56" s="36"/>
      <c r="M56" s="39"/>
      <c r="N56" s="8"/>
      <c r="O56" s="48"/>
      <c r="P56" s="41">
        <v>0.05</v>
      </c>
      <c r="Q56" s="36"/>
      <c r="R56" s="8"/>
      <c r="S56" s="8"/>
      <c r="T56" s="8"/>
      <c r="U56" s="8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2:34" ht="30" customHeight="1" x14ac:dyDescent="0.2">
      <c r="B57" s="96"/>
      <c r="C57" s="98"/>
      <c r="D57" s="98"/>
      <c r="E57" s="29" t="s">
        <v>41</v>
      </c>
      <c r="F57" s="21">
        <v>45908</v>
      </c>
      <c r="G57" s="1">
        <f t="shared" si="3"/>
        <v>0.1</v>
      </c>
      <c r="H57" s="14" t="str">
        <f t="shared" si="4"/>
        <v>진행중</v>
      </c>
      <c r="I57" s="16">
        <f t="shared" si="2"/>
        <v>0.1</v>
      </c>
      <c r="J57" s="90"/>
      <c r="K57" s="8">
        <v>0.05</v>
      </c>
      <c r="L57" s="36"/>
      <c r="M57" s="39"/>
      <c r="N57" s="8"/>
      <c r="O57" s="48"/>
      <c r="P57" s="41">
        <v>0.05</v>
      </c>
      <c r="Q57" s="36"/>
      <c r="R57" s="8"/>
      <c r="S57" s="8"/>
      <c r="T57" s="8"/>
      <c r="U57" s="8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2:34" ht="30" customHeight="1" x14ac:dyDescent="0.2">
      <c r="B58" s="96"/>
      <c r="C58" s="98"/>
      <c r="D58" s="98"/>
      <c r="E58" s="29" t="s">
        <v>42</v>
      </c>
      <c r="F58" s="21">
        <v>45908</v>
      </c>
      <c r="G58" s="1">
        <f t="shared" si="3"/>
        <v>0.1</v>
      </c>
      <c r="H58" s="14" t="str">
        <f t="shared" si="4"/>
        <v>진행중</v>
      </c>
      <c r="I58" s="16">
        <f>G58</f>
        <v>0.1</v>
      </c>
      <c r="J58" s="90"/>
      <c r="K58" s="8">
        <v>0.05</v>
      </c>
      <c r="L58" s="36"/>
      <c r="M58" s="39"/>
      <c r="N58" s="8"/>
      <c r="O58" s="48"/>
      <c r="P58" s="41">
        <v>0.05</v>
      </c>
      <c r="Q58" s="36"/>
      <c r="R58" s="8"/>
      <c r="S58" s="8"/>
      <c r="T58" s="8"/>
      <c r="U58" s="8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2:34" ht="30" customHeight="1" x14ac:dyDescent="0.2">
      <c r="B59" s="96"/>
      <c r="C59" s="98"/>
      <c r="D59" s="101"/>
      <c r="E59" s="28" t="s">
        <v>43</v>
      </c>
      <c r="F59" s="21">
        <v>45908</v>
      </c>
      <c r="G59" s="1">
        <f t="shared" si="3"/>
        <v>0.1</v>
      </c>
      <c r="H59" s="14" t="str">
        <f t="shared" si="4"/>
        <v>진행중</v>
      </c>
      <c r="I59" s="16">
        <f t="shared" si="2"/>
        <v>0.1</v>
      </c>
      <c r="J59" s="90"/>
      <c r="K59" s="8">
        <v>0.05</v>
      </c>
      <c r="L59" s="36"/>
      <c r="M59" s="39"/>
      <c r="N59" s="8"/>
      <c r="O59" s="48"/>
      <c r="P59" s="41">
        <v>0.05</v>
      </c>
      <c r="Q59" s="36"/>
      <c r="R59" s="8"/>
      <c r="S59" s="8"/>
      <c r="T59" s="8"/>
      <c r="U59" s="8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2:34" ht="30" customHeight="1" x14ac:dyDescent="0.2">
      <c r="B60" s="96"/>
      <c r="C60" s="98"/>
      <c r="D60" s="98" t="s">
        <v>44</v>
      </c>
      <c r="E60" s="30" t="s">
        <v>47</v>
      </c>
      <c r="F60" s="21">
        <v>45908</v>
      </c>
      <c r="G60" s="1">
        <f t="shared" si="3"/>
        <v>0</v>
      </c>
      <c r="H60" s="14" t="str">
        <f t="shared" si="4"/>
        <v>예정</v>
      </c>
      <c r="I60" s="16">
        <f>G60</f>
        <v>0</v>
      </c>
      <c r="J60" s="90"/>
      <c r="K60" s="8"/>
      <c r="L60" s="36"/>
      <c r="M60" s="39"/>
      <c r="N60" s="8"/>
      <c r="O60" s="48"/>
      <c r="P60" s="41"/>
      <c r="Q60" s="36"/>
      <c r="R60" s="8"/>
      <c r="S60" s="8"/>
      <c r="T60" s="8"/>
      <c r="U60" s="8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2:34" ht="30" customHeight="1" x14ac:dyDescent="0.2">
      <c r="B61" s="96"/>
      <c r="C61" s="98"/>
      <c r="D61" s="101"/>
      <c r="E61" s="28" t="s">
        <v>48</v>
      </c>
      <c r="F61" s="21">
        <v>45908</v>
      </c>
      <c r="G61" s="1">
        <f t="shared" si="3"/>
        <v>0</v>
      </c>
      <c r="H61" s="14" t="str">
        <f t="shared" si="4"/>
        <v>예정</v>
      </c>
      <c r="I61" s="16">
        <f t="shared" si="2"/>
        <v>0</v>
      </c>
      <c r="J61" s="90"/>
      <c r="K61" s="8"/>
      <c r="L61" s="36"/>
      <c r="M61" s="39"/>
      <c r="N61" s="8"/>
      <c r="O61" s="48"/>
      <c r="P61" s="41"/>
      <c r="Q61" s="36"/>
      <c r="R61" s="8"/>
      <c r="S61" s="8"/>
      <c r="T61" s="8"/>
      <c r="U61" s="8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2:34" ht="30" customHeight="1" x14ac:dyDescent="0.2">
      <c r="B62" s="96"/>
      <c r="C62" s="98"/>
      <c r="D62" s="98" t="s">
        <v>45</v>
      </c>
      <c r="E62" s="31" t="s">
        <v>49</v>
      </c>
      <c r="F62" s="21">
        <v>45908</v>
      </c>
      <c r="G62" s="1">
        <f t="shared" si="3"/>
        <v>0</v>
      </c>
      <c r="H62" s="14" t="str">
        <f t="shared" si="4"/>
        <v>예정</v>
      </c>
      <c r="I62" s="16">
        <f>G62</f>
        <v>0</v>
      </c>
      <c r="J62" s="90"/>
      <c r="K62" s="8"/>
      <c r="L62" s="36"/>
      <c r="M62" s="39"/>
      <c r="N62" s="8"/>
      <c r="O62" s="48"/>
      <c r="P62" s="41"/>
      <c r="Q62" s="36"/>
      <c r="R62" s="8"/>
      <c r="S62" s="8"/>
      <c r="T62" s="8"/>
      <c r="U62" s="8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2:34" ht="30" customHeight="1" x14ac:dyDescent="0.2">
      <c r="B63" s="96"/>
      <c r="C63" s="98"/>
      <c r="D63" s="98"/>
      <c r="E63" s="31" t="s">
        <v>50</v>
      </c>
      <c r="F63" s="21">
        <v>45908</v>
      </c>
      <c r="G63" s="1">
        <f t="shared" si="3"/>
        <v>0</v>
      </c>
      <c r="H63" s="14" t="str">
        <f t="shared" si="4"/>
        <v>예정</v>
      </c>
      <c r="I63" s="16">
        <f t="shared" si="2"/>
        <v>0</v>
      </c>
      <c r="J63" s="90"/>
      <c r="K63" s="8"/>
      <c r="L63" s="36"/>
      <c r="M63" s="39"/>
      <c r="N63" s="8"/>
      <c r="O63" s="48"/>
      <c r="P63" s="41"/>
      <c r="Q63" s="36"/>
      <c r="R63" s="8"/>
      <c r="S63" s="8"/>
      <c r="T63" s="8"/>
      <c r="U63" s="8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2:34" ht="30" customHeight="1" x14ac:dyDescent="0.2">
      <c r="B64" s="96"/>
      <c r="C64" s="98"/>
      <c r="D64" s="98"/>
      <c r="E64" s="31" t="s">
        <v>51</v>
      </c>
      <c r="F64" s="21">
        <v>45908</v>
      </c>
      <c r="G64" s="1">
        <f t="shared" si="3"/>
        <v>0</v>
      </c>
      <c r="H64" s="14" t="str">
        <f t="shared" si="4"/>
        <v>예정</v>
      </c>
      <c r="I64" s="16">
        <f>G64</f>
        <v>0</v>
      </c>
      <c r="J64" s="90"/>
      <c r="K64" s="8"/>
      <c r="L64" s="36"/>
      <c r="M64" s="39"/>
      <c r="N64" s="8"/>
      <c r="O64" s="48"/>
      <c r="P64" s="41"/>
      <c r="Q64" s="36"/>
      <c r="R64" s="8"/>
      <c r="S64" s="8"/>
      <c r="T64" s="8"/>
      <c r="U64" s="8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2:34" ht="30" customHeight="1" x14ac:dyDescent="0.2">
      <c r="B65" s="96"/>
      <c r="C65" s="98"/>
      <c r="D65" s="101"/>
      <c r="E65" s="31" t="s">
        <v>52</v>
      </c>
      <c r="F65" s="21">
        <v>45908</v>
      </c>
      <c r="G65" s="1">
        <f t="shared" si="3"/>
        <v>0</v>
      </c>
      <c r="H65" s="14" t="str">
        <f t="shared" si="4"/>
        <v>예정</v>
      </c>
      <c r="I65" s="16">
        <f t="shared" si="2"/>
        <v>0</v>
      </c>
      <c r="J65" s="90"/>
      <c r="K65" s="8"/>
      <c r="L65" s="36"/>
      <c r="M65" s="39"/>
      <c r="N65" s="8"/>
      <c r="O65" s="48"/>
      <c r="P65" s="41"/>
      <c r="Q65" s="36"/>
      <c r="R65" s="8"/>
      <c r="S65" s="8"/>
      <c r="T65" s="8"/>
      <c r="U65" s="8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2:34" ht="30" customHeight="1" x14ac:dyDescent="0.2">
      <c r="B66" s="96"/>
      <c r="C66" s="98"/>
      <c r="D66" s="102" t="s">
        <v>46</v>
      </c>
      <c r="E66" s="32" t="s">
        <v>53</v>
      </c>
      <c r="F66" s="21">
        <v>45908</v>
      </c>
      <c r="G66" s="1">
        <f t="shared" ref="G66:G96" si="5">SUM(K66:U66)</f>
        <v>0.05</v>
      </c>
      <c r="H66" s="14" t="str">
        <f t="shared" ref="H66:H96" si="6">IF(G66=100%, "완료", IF(G66=0%, "예정", IF(AND(G66&gt;0%, G66&lt;100%), "진행중", "")))</f>
        <v>진행중</v>
      </c>
      <c r="I66" s="16">
        <f>G66</f>
        <v>0.05</v>
      </c>
      <c r="J66" s="90"/>
      <c r="K66" s="8"/>
      <c r="L66" s="36"/>
      <c r="M66" s="39"/>
      <c r="N66" s="8"/>
      <c r="O66" s="48"/>
      <c r="P66" s="41">
        <v>0.05</v>
      </c>
      <c r="Q66" s="36"/>
      <c r="R66" s="8"/>
      <c r="S66" s="8"/>
      <c r="T66" s="8"/>
      <c r="U66" s="8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2:34" ht="30" customHeight="1" x14ac:dyDescent="0.2">
      <c r="B67" s="96"/>
      <c r="C67" s="98"/>
      <c r="D67" s="103"/>
      <c r="E67" s="32" t="s">
        <v>54</v>
      </c>
      <c r="F67" s="21">
        <v>45908</v>
      </c>
      <c r="G67" s="1">
        <f t="shared" si="5"/>
        <v>0.05</v>
      </c>
      <c r="H67" s="14" t="str">
        <f t="shared" si="6"/>
        <v>진행중</v>
      </c>
      <c r="I67" s="16">
        <f t="shared" ref="I67:I71" si="7">G67</f>
        <v>0.05</v>
      </c>
      <c r="J67" s="90"/>
      <c r="K67" s="8"/>
      <c r="L67" s="36"/>
      <c r="M67" s="39"/>
      <c r="N67" s="8"/>
      <c r="O67" s="48"/>
      <c r="P67" s="41">
        <v>0.05</v>
      </c>
      <c r="Q67" s="36"/>
      <c r="R67" s="8"/>
      <c r="S67" s="8"/>
      <c r="T67" s="8"/>
      <c r="U67" s="8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2:34" ht="30" customHeight="1" x14ac:dyDescent="0.2">
      <c r="B68" s="96"/>
      <c r="C68" s="98"/>
      <c r="D68" s="103"/>
      <c r="E68" s="32" t="s">
        <v>55</v>
      </c>
      <c r="F68" s="21">
        <v>45908</v>
      </c>
      <c r="G68" s="1">
        <f t="shared" si="5"/>
        <v>0.05</v>
      </c>
      <c r="H68" s="14" t="str">
        <f t="shared" si="6"/>
        <v>진행중</v>
      </c>
      <c r="I68" s="16">
        <f>G68</f>
        <v>0.05</v>
      </c>
      <c r="J68" s="90"/>
      <c r="K68" s="8"/>
      <c r="L68" s="36"/>
      <c r="M68" s="39"/>
      <c r="N68" s="8"/>
      <c r="O68" s="48"/>
      <c r="P68" s="41">
        <v>0.05</v>
      </c>
      <c r="Q68" s="36"/>
      <c r="R68" s="8"/>
      <c r="S68" s="8"/>
      <c r="T68" s="8"/>
      <c r="U68" s="8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2:34" ht="30" customHeight="1" x14ac:dyDescent="0.2">
      <c r="B69" s="96"/>
      <c r="C69" s="98"/>
      <c r="D69" s="103"/>
      <c r="E69" s="33" t="s">
        <v>56</v>
      </c>
      <c r="F69" s="21">
        <v>45908</v>
      </c>
      <c r="G69" s="1">
        <f t="shared" si="5"/>
        <v>0.05</v>
      </c>
      <c r="H69" s="14" t="str">
        <f t="shared" si="6"/>
        <v>진행중</v>
      </c>
      <c r="I69" s="16">
        <f t="shared" si="7"/>
        <v>0.05</v>
      </c>
      <c r="J69" s="90"/>
      <c r="K69" s="8"/>
      <c r="L69" s="36"/>
      <c r="M69" s="39"/>
      <c r="N69" s="8"/>
      <c r="O69" s="48"/>
      <c r="P69" s="41">
        <v>0.05</v>
      </c>
      <c r="Q69" s="36"/>
      <c r="R69" s="8"/>
      <c r="S69" s="8"/>
      <c r="T69" s="8"/>
      <c r="U69" s="8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2:34" ht="30" customHeight="1" thickBot="1" x14ac:dyDescent="0.25">
      <c r="B70" s="97"/>
      <c r="C70" s="98"/>
      <c r="D70" s="104"/>
      <c r="E70" s="34" t="s">
        <v>57</v>
      </c>
      <c r="F70" s="24">
        <v>45908</v>
      </c>
      <c r="G70" s="6">
        <f t="shared" si="5"/>
        <v>0.05</v>
      </c>
      <c r="H70" s="13" t="str">
        <f t="shared" si="6"/>
        <v>진행중</v>
      </c>
      <c r="I70" s="17">
        <f>G70</f>
        <v>0.05</v>
      </c>
      <c r="J70" s="90"/>
      <c r="K70" s="8"/>
      <c r="L70" s="36"/>
      <c r="M70" s="39"/>
      <c r="N70" s="8"/>
      <c r="O70" s="48"/>
      <c r="P70" s="41">
        <v>0.05</v>
      </c>
      <c r="Q70" s="36"/>
      <c r="R70" s="8"/>
      <c r="S70" s="8"/>
      <c r="T70" s="8"/>
      <c r="U70" s="8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2:34" ht="30" customHeight="1" x14ac:dyDescent="0.2">
      <c r="B71" s="59" t="s">
        <v>66</v>
      </c>
      <c r="C71" s="62" t="s">
        <v>68</v>
      </c>
      <c r="D71" s="62" t="s">
        <v>29</v>
      </c>
      <c r="E71" s="27" t="s">
        <v>21</v>
      </c>
      <c r="F71" s="21">
        <v>45908</v>
      </c>
      <c r="G71" s="20">
        <f t="shared" si="5"/>
        <v>0</v>
      </c>
      <c r="H71" s="14" t="str">
        <f t="shared" si="6"/>
        <v>예정</v>
      </c>
      <c r="I71" s="16">
        <f t="shared" si="7"/>
        <v>0</v>
      </c>
      <c r="J71" s="90"/>
      <c r="K71" s="8"/>
      <c r="L71" s="36"/>
      <c r="M71" s="39"/>
      <c r="N71" s="8"/>
      <c r="O71" s="48"/>
      <c r="P71" s="41"/>
      <c r="Q71" s="36"/>
      <c r="R71" s="8"/>
      <c r="S71" s="8"/>
      <c r="T71" s="8"/>
      <c r="U71" s="8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2:34" ht="30" customHeight="1" x14ac:dyDescent="0.2">
      <c r="B72" s="60"/>
      <c r="C72" s="63"/>
      <c r="D72" s="63"/>
      <c r="E72" s="27" t="s">
        <v>22</v>
      </c>
      <c r="F72" s="21">
        <v>45908</v>
      </c>
      <c r="G72" s="1">
        <f t="shared" si="5"/>
        <v>0</v>
      </c>
      <c r="H72" s="14" t="str">
        <f t="shared" si="6"/>
        <v>예정</v>
      </c>
      <c r="I72" s="16">
        <f>G72</f>
        <v>0</v>
      </c>
      <c r="J72" s="90"/>
      <c r="K72" s="8"/>
      <c r="L72" s="36"/>
      <c r="M72" s="39"/>
      <c r="N72" s="8"/>
      <c r="O72" s="48"/>
      <c r="P72" s="41"/>
      <c r="Q72" s="36"/>
      <c r="R72" s="8"/>
      <c r="S72" s="8"/>
      <c r="T72" s="8"/>
      <c r="U72" s="8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2:34" ht="30" customHeight="1" x14ac:dyDescent="0.2">
      <c r="B73" s="60"/>
      <c r="C73" s="63"/>
      <c r="D73" s="63"/>
      <c r="E73" s="27" t="s">
        <v>23</v>
      </c>
      <c r="F73" s="21">
        <v>45908</v>
      </c>
      <c r="G73" s="1">
        <f t="shared" si="5"/>
        <v>0</v>
      </c>
      <c r="H73" s="14" t="str">
        <f t="shared" si="6"/>
        <v>예정</v>
      </c>
      <c r="I73" s="16">
        <f t="shared" ref="I73:I84" si="8">G73</f>
        <v>0</v>
      </c>
      <c r="J73" s="90"/>
      <c r="K73" s="8"/>
      <c r="L73" s="36"/>
      <c r="M73" s="39"/>
      <c r="N73" s="8"/>
      <c r="O73" s="48"/>
      <c r="P73" s="41"/>
      <c r="Q73" s="36"/>
      <c r="R73" s="8"/>
      <c r="S73" s="8"/>
      <c r="T73" s="8"/>
      <c r="U73" s="8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2:34" ht="30" customHeight="1" x14ac:dyDescent="0.2">
      <c r="B74" s="60"/>
      <c r="C74" s="63"/>
      <c r="D74" s="63"/>
      <c r="E74" s="27" t="s">
        <v>27</v>
      </c>
      <c r="F74" s="21">
        <v>45908</v>
      </c>
      <c r="G74" s="1">
        <f t="shared" si="5"/>
        <v>0</v>
      </c>
      <c r="H74" s="14" t="str">
        <f t="shared" si="6"/>
        <v>예정</v>
      </c>
      <c r="I74" s="16">
        <f>G74</f>
        <v>0</v>
      </c>
      <c r="J74" s="90"/>
      <c r="K74" s="8"/>
      <c r="L74" s="36"/>
      <c r="M74" s="39"/>
      <c r="N74" s="8"/>
      <c r="O74" s="48"/>
      <c r="P74" s="41"/>
      <c r="Q74" s="36"/>
      <c r="R74" s="8"/>
      <c r="S74" s="8"/>
      <c r="T74" s="8"/>
      <c r="U74" s="8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2:34" ht="30" customHeight="1" x14ac:dyDescent="0.2">
      <c r="B75" s="60"/>
      <c r="C75" s="63"/>
      <c r="D75" s="63"/>
      <c r="E75" s="27" t="s">
        <v>24</v>
      </c>
      <c r="F75" s="21">
        <v>45908</v>
      </c>
      <c r="G75" s="1">
        <f t="shared" si="5"/>
        <v>0</v>
      </c>
      <c r="H75" s="14" t="str">
        <f t="shared" si="6"/>
        <v>예정</v>
      </c>
      <c r="I75" s="16">
        <f t="shared" si="8"/>
        <v>0</v>
      </c>
      <c r="J75" s="90"/>
      <c r="K75" s="8"/>
      <c r="L75" s="36"/>
      <c r="M75" s="39"/>
      <c r="N75" s="8"/>
      <c r="O75" s="48"/>
      <c r="P75" s="41"/>
      <c r="Q75" s="36"/>
      <c r="R75" s="8"/>
      <c r="S75" s="8"/>
      <c r="T75" s="8"/>
      <c r="U75" s="8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2:34" ht="30" customHeight="1" x14ac:dyDescent="0.2">
      <c r="B76" s="60"/>
      <c r="C76" s="63"/>
      <c r="D76" s="99"/>
      <c r="E76" s="28" t="s">
        <v>25</v>
      </c>
      <c r="F76" s="25">
        <v>45908</v>
      </c>
      <c r="G76" s="1">
        <f t="shared" si="5"/>
        <v>0</v>
      </c>
      <c r="H76" s="14" t="str">
        <f t="shared" si="6"/>
        <v>예정</v>
      </c>
      <c r="I76" s="16">
        <f>G76</f>
        <v>0</v>
      </c>
      <c r="J76" s="90"/>
      <c r="K76" s="8"/>
      <c r="L76" s="36"/>
      <c r="M76" s="39"/>
      <c r="N76" s="8"/>
      <c r="O76" s="48"/>
      <c r="P76" s="41"/>
      <c r="Q76" s="36"/>
      <c r="R76" s="8"/>
      <c r="S76" s="8"/>
      <c r="T76" s="8"/>
      <c r="U76" s="8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2:34" ht="30" customHeight="1" x14ac:dyDescent="0.2">
      <c r="B77" s="60"/>
      <c r="C77" s="63"/>
      <c r="D77" s="100" t="s">
        <v>28</v>
      </c>
      <c r="E77" s="26" t="s">
        <v>32</v>
      </c>
      <c r="F77" s="21">
        <v>45908</v>
      </c>
      <c r="G77" s="1">
        <f t="shared" si="5"/>
        <v>0</v>
      </c>
      <c r="H77" s="14" t="str">
        <f t="shared" si="6"/>
        <v>예정</v>
      </c>
      <c r="I77" s="16">
        <f t="shared" si="8"/>
        <v>0</v>
      </c>
      <c r="J77" s="90"/>
      <c r="K77" s="8"/>
      <c r="L77" s="36"/>
      <c r="M77" s="39"/>
      <c r="N77" s="8"/>
      <c r="O77" s="48"/>
      <c r="P77" s="41"/>
      <c r="Q77" s="36"/>
      <c r="R77" s="8"/>
      <c r="S77" s="8"/>
      <c r="T77" s="8"/>
      <c r="U77" s="8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2:34" ht="30" customHeight="1" x14ac:dyDescent="0.2">
      <c r="B78" s="60"/>
      <c r="C78" s="63"/>
      <c r="D78" s="98"/>
      <c r="E78" s="26" t="s">
        <v>31</v>
      </c>
      <c r="F78" s="21">
        <v>45908</v>
      </c>
      <c r="G78" s="1">
        <f t="shared" si="5"/>
        <v>0.15</v>
      </c>
      <c r="H78" s="14" t="str">
        <f t="shared" si="6"/>
        <v>진행중</v>
      </c>
      <c r="I78" s="16">
        <f>G78</f>
        <v>0.15</v>
      </c>
      <c r="J78" s="90"/>
      <c r="K78" s="8"/>
      <c r="L78" s="36"/>
      <c r="M78" s="39"/>
      <c r="N78" s="8"/>
      <c r="O78" s="48">
        <v>0.15</v>
      </c>
      <c r="P78" s="41"/>
      <c r="Q78" s="36"/>
      <c r="R78" s="8"/>
      <c r="S78" s="8"/>
      <c r="T78" s="8"/>
      <c r="U78" s="8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2:34" ht="30" customHeight="1" x14ac:dyDescent="0.2">
      <c r="B79" s="60"/>
      <c r="C79" s="63"/>
      <c r="D79" s="98"/>
      <c r="E79" s="27" t="s">
        <v>30</v>
      </c>
      <c r="F79" s="21">
        <v>45908</v>
      </c>
      <c r="G79" s="1">
        <f t="shared" si="5"/>
        <v>0.15</v>
      </c>
      <c r="H79" s="14" t="str">
        <f t="shared" si="6"/>
        <v>진행중</v>
      </c>
      <c r="I79" s="16">
        <f t="shared" si="8"/>
        <v>0.15</v>
      </c>
      <c r="J79" s="90"/>
      <c r="K79" s="8"/>
      <c r="L79" s="36"/>
      <c r="M79" s="39"/>
      <c r="N79" s="8"/>
      <c r="O79" s="48">
        <v>0.15</v>
      </c>
      <c r="P79" s="41"/>
      <c r="Q79" s="36"/>
      <c r="R79" s="8"/>
      <c r="S79" s="8"/>
      <c r="T79" s="8"/>
      <c r="U79" s="8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2:34" ht="30" customHeight="1" x14ac:dyDescent="0.2">
      <c r="B80" s="60"/>
      <c r="C80" s="63"/>
      <c r="D80" s="98"/>
      <c r="E80" s="29" t="s">
        <v>34</v>
      </c>
      <c r="F80" s="21">
        <v>45908</v>
      </c>
      <c r="G80" s="1">
        <f t="shared" si="5"/>
        <v>0.15</v>
      </c>
      <c r="H80" s="14" t="str">
        <f t="shared" si="6"/>
        <v>진행중</v>
      </c>
      <c r="I80" s="16">
        <f>G80</f>
        <v>0.15</v>
      </c>
      <c r="J80" s="90"/>
      <c r="K80" s="8"/>
      <c r="L80" s="36"/>
      <c r="M80" s="39"/>
      <c r="N80" s="8"/>
      <c r="O80" s="48">
        <v>0.15</v>
      </c>
      <c r="P80" s="41"/>
      <c r="Q80" s="36"/>
      <c r="R80" s="8"/>
      <c r="S80" s="8"/>
      <c r="T80" s="8"/>
      <c r="U80" s="8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2:34" ht="30" customHeight="1" x14ac:dyDescent="0.2">
      <c r="B81" s="60"/>
      <c r="C81" s="63"/>
      <c r="D81" s="98"/>
      <c r="E81" s="29" t="s">
        <v>36</v>
      </c>
      <c r="F81" s="21">
        <v>45908</v>
      </c>
      <c r="G81" s="1">
        <f t="shared" si="5"/>
        <v>0.15</v>
      </c>
      <c r="H81" s="14" t="str">
        <f t="shared" si="6"/>
        <v>진행중</v>
      </c>
      <c r="I81" s="16">
        <f t="shared" si="8"/>
        <v>0.15</v>
      </c>
      <c r="J81" s="90"/>
      <c r="K81" s="8"/>
      <c r="L81" s="36"/>
      <c r="M81" s="39"/>
      <c r="N81" s="8"/>
      <c r="O81" s="48">
        <v>0.15</v>
      </c>
      <c r="P81" s="41"/>
      <c r="Q81" s="36"/>
      <c r="R81" s="8"/>
      <c r="S81" s="8"/>
      <c r="T81" s="8"/>
      <c r="U81" s="8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2:34" ht="30" customHeight="1" x14ac:dyDescent="0.2">
      <c r="B82" s="60"/>
      <c r="C82" s="63"/>
      <c r="D82" s="98"/>
      <c r="E82" s="27" t="s">
        <v>33</v>
      </c>
      <c r="F82" s="25">
        <v>45908</v>
      </c>
      <c r="G82" s="1">
        <f t="shared" si="5"/>
        <v>0.15</v>
      </c>
      <c r="H82" s="14" t="str">
        <f t="shared" si="6"/>
        <v>진행중</v>
      </c>
      <c r="I82" s="16">
        <f>G82</f>
        <v>0.15</v>
      </c>
      <c r="J82" s="90"/>
      <c r="K82" s="8"/>
      <c r="L82" s="36"/>
      <c r="M82" s="39"/>
      <c r="N82" s="8"/>
      <c r="O82" s="48">
        <v>0.15</v>
      </c>
      <c r="P82" s="41"/>
      <c r="Q82" s="36"/>
      <c r="R82" s="8"/>
      <c r="S82" s="8"/>
      <c r="T82" s="8"/>
      <c r="U82" s="8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2:34" ht="30" customHeight="1" x14ac:dyDescent="0.2">
      <c r="B83" s="60"/>
      <c r="C83" s="63"/>
      <c r="D83" s="98"/>
      <c r="E83" s="29" t="s">
        <v>35</v>
      </c>
      <c r="F83" s="21">
        <v>45908</v>
      </c>
      <c r="G83" s="1">
        <f t="shared" si="5"/>
        <v>0.15</v>
      </c>
      <c r="H83" s="14" t="str">
        <f t="shared" si="6"/>
        <v>진행중</v>
      </c>
      <c r="I83" s="16">
        <f t="shared" si="8"/>
        <v>0.15</v>
      </c>
      <c r="J83" s="90"/>
      <c r="K83" s="8"/>
      <c r="L83" s="36"/>
      <c r="M83" s="39"/>
      <c r="N83" s="8"/>
      <c r="O83" s="48">
        <v>0.15</v>
      </c>
      <c r="P83" s="41"/>
      <c r="Q83" s="36"/>
      <c r="R83" s="8"/>
      <c r="S83" s="8"/>
      <c r="T83" s="8"/>
      <c r="U83" s="8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2:34" ht="30" customHeight="1" x14ac:dyDescent="0.2">
      <c r="B84" s="60"/>
      <c r="C84" s="63"/>
      <c r="D84" s="98"/>
      <c r="E84" s="29" t="s">
        <v>37</v>
      </c>
      <c r="F84" s="21">
        <v>45908</v>
      </c>
      <c r="G84" s="1">
        <f t="shared" si="5"/>
        <v>0.15</v>
      </c>
      <c r="H84" s="14" t="str">
        <f t="shared" si="6"/>
        <v>진행중</v>
      </c>
      <c r="I84" s="16">
        <f t="shared" si="8"/>
        <v>0.15</v>
      </c>
      <c r="J84" s="90"/>
      <c r="K84" s="8"/>
      <c r="L84" s="36"/>
      <c r="M84" s="39"/>
      <c r="N84" s="8"/>
      <c r="O84" s="48">
        <v>0.15</v>
      </c>
      <c r="P84" s="41"/>
      <c r="Q84" s="36"/>
      <c r="R84" s="8"/>
      <c r="S84" s="8"/>
      <c r="T84" s="8"/>
      <c r="U84" s="8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2:34" ht="30" customHeight="1" x14ac:dyDescent="0.2">
      <c r="B85" s="60"/>
      <c r="C85" s="63"/>
      <c r="D85" s="98"/>
      <c r="E85" s="29" t="s">
        <v>38</v>
      </c>
      <c r="F85" s="21">
        <v>45908</v>
      </c>
      <c r="G85" s="1">
        <f t="shared" si="5"/>
        <v>0.15</v>
      </c>
      <c r="H85" s="14" t="str">
        <f t="shared" si="6"/>
        <v>진행중</v>
      </c>
      <c r="I85" s="16">
        <f>G85</f>
        <v>0.15</v>
      </c>
      <c r="J85" s="90"/>
      <c r="K85" s="8"/>
      <c r="L85" s="36"/>
      <c r="M85" s="39"/>
      <c r="N85" s="8"/>
      <c r="O85" s="48">
        <v>0.15</v>
      </c>
      <c r="P85" s="41"/>
      <c r="Q85" s="36"/>
      <c r="R85" s="8"/>
      <c r="S85" s="8"/>
      <c r="T85" s="8"/>
      <c r="U85" s="8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2:34" ht="30" customHeight="1" x14ac:dyDescent="0.2">
      <c r="B86" s="60"/>
      <c r="C86" s="63"/>
      <c r="D86" s="98"/>
      <c r="E86" s="29" t="s">
        <v>39</v>
      </c>
      <c r="F86" s="21">
        <v>45908</v>
      </c>
      <c r="G86" s="1">
        <f t="shared" si="5"/>
        <v>0.15</v>
      </c>
      <c r="H86" s="14" t="str">
        <f t="shared" si="6"/>
        <v>진행중</v>
      </c>
      <c r="I86" s="16">
        <f t="shared" ref="I86:I98" si="9">G86</f>
        <v>0.15</v>
      </c>
      <c r="J86" s="90"/>
      <c r="K86" s="8"/>
      <c r="L86" s="36"/>
      <c r="M86" s="39"/>
      <c r="N86" s="8"/>
      <c r="O86" s="48">
        <v>0.15</v>
      </c>
      <c r="P86" s="41"/>
      <c r="Q86" s="36"/>
      <c r="R86" s="8"/>
      <c r="S86" s="8"/>
      <c r="T86" s="8"/>
      <c r="U86" s="8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2:34" ht="30" customHeight="1" x14ac:dyDescent="0.2">
      <c r="B87" s="60"/>
      <c r="C87" s="63"/>
      <c r="D87" s="98"/>
      <c r="E87" s="30" t="s">
        <v>40</v>
      </c>
      <c r="F87" s="25">
        <v>45908</v>
      </c>
      <c r="G87" s="1">
        <f t="shared" si="5"/>
        <v>0.15</v>
      </c>
      <c r="H87" s="14" t="str">
        <f t="shared" si="6"/>
        <v>진행중</v>
      </c>
      <c r="I87" s="16">
        <f>G87</f>
        <v>0.15</v>
      </c>
      <c r="J87" s="90"/>
      <c r="K87" s="8"/>
      <c r="L87" s="36"/>
      <c r="M87" s="39"/>
      <c r="N87" s="8"/>
      <c r="O87" s="48">
        <v>0.15</v>
      </c>
      <c r="P87" s="41"/>
      <c r="Q87" s="36"/>
      <c r="R87" s="8"/>
      <c r="S87" s="8"/>
      <c r="T87" s="8"/>
      <c r="U87" s="8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2:34" ht="30" customHeight="1" x14ac:dyDescent="0.2">
      <c r="B88" s="60"/>
      <c r="C88" s="63"/>
      <c r="D88" s="98"/>
      <c r="E88" s="29" t="s">
        <v>41</v>
      </c>
      <c r="F88" s="21">
        <v>45908</v>
      </c>
      <c r="G88" s="1">
        <f t="shared" si="5"/>
        <v>0.15</v>
      </c>
      <c r="H88" s="14" t="str">
        <f t="shared" si="6"/>
        <v>진행중</v>
      </c>
      <c r="I88" s="16">
        <f t="shared" si="9"/>
        <v>0.15</v>
      </c>
      <c r="J88" s="90"/>
      <c r="K88" s="8"/>
      <c r="L88" s="36"/>
      <c r="M88" s="39"/>
      <c r="N88" s="8"/>
      <c r="O88" s="48">
        <v>0.15</v>
      </c>
      <c r="P88" s="41"/>
      <c r="Q88" s="36"/>
      <c r="R88" s="8"/>
      <c r="S88" s="8"/>
      <c r="T88" s="8"/>
      <c r="U88" s="8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2:34" ht="30" customHeight="1" x14ac:dyDescent="0.2">
      <c r="B89" s="60"/>
      <c r="C89" s="63"/>
      <c r="D89" s="98"/>
      <c r="E89" s="29" t="s">
        <v>42</v>
      </c>
      <c r="F89" s="21">
        <v>45908</v>
      </c>
      <c r="G89" s="1">
        <f t="shared" si="5"/>
        <v>0.15</v>
      </c>
      <c r="H89" s="14" t="str">
        <f t="shared" si="6"/>
        <v>진행중</v>
      </c>
      <c r="I89" s="16">
        <f>G89</f>
        <v>0.15</v>
      </c>
      <c r="J89" s="90"/>
      <c r="K89" s="8"/>
      <c r="L89" s="36"/>
      <c r="M89" s="39"/>
      <c r="N89" s="8"/>
      <c r="O89" s="48">
        <v>0.15</v>
      </c>
      <c r="P89" s="41"/>
      <c r="Q89" s="36"/>
      <c r="R89" s="8"/>
      <c r="S89" s="8"/>
      <c r="T89" s="8"/>
      <c r="U89" s="8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2:34" ht="30" customHeight="1" x14ac:dyDescent="0.2">
      <c r="B90" s="60"/>
      <c r="C90" s="63"/>
      <c r="D90" s="101"/>
      <c r="E90" s="28" t="s">
        <v>43</v>
      </c>
      <c r="F90" s="21">
        <v>45908</v>
      </c>
      <c r="G90" s="1">
        <f t="shared" si="5"/>
        <v>0.15</v>
      </c>
      <c r="H90" s="14" t="str">
        <f t="shared" si="6"/>
        <v>진행중</v>
      </c>
      <c r="I90" s="16">
        <f t="shared" si="9"/>
        <v>0.15</v>
      </c>
      <c r="J90" s="90"/>
      <c r="K90" s="8"/>
      <c r="L90" s="36"/>
      <c r="M90" s="39"/>
      <c r="N90" s="8"/>
      <c r="O90" s="48">
        <v>0.15</v>
      </c>
      <c r="P90" s="41"/>
      <c r="Q90" s="36"/>
      <c r="R90" s="8"/>
      <c r="S90" s="8"/>
      <c r="T90" s="8"/>
      <c r="U90" s="8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2:34" ht="30" customHeight="1" x14ac:dyDescent="0.2">
      <c r="B91" s="60"/>
      <c r="C91" s="63"/>
      <c r="D91" s="98" t="s">
        <v>44</v>
      </c>
      <c r="E91" s="30" t="s">
        <v>47</v>
      </c>
      <c r="F91" s="21">
        <v>45908</v>
      </c>
      <c r="G91" s="1">
        <f t="shared" si="5"/>
        <v>0.15</v>
      </c>
      <c r="H91" s="14" t="str">
        <f t="shared" si="6"/>
        <v>진행중</v>
      </c>
      <c r="I91" s="16">
        <f>G91</f>
        <v>0.15</v>
      </c>
      <c r="J91" s="90"/>
      <c r="K91" s="8"/>
      <c r="L91" s="36"/>
      <c r="M91" s="39"/>
      <c r="N91" s="8"/>
      <c r="O91" s="48">
        <v>0.15</v>
      </c>
      <c r="P91" s="41"/>
      <c r="Q91" s="36"/>
      <c r="R91" s="8"/>
      <c r="S91" s="8"/>
      <c r="T91" s="8"/>
      <c r="U91" s="8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2:34" ht="30" customHeight="1" x14ac:dyDescent="0.2">
      <c r="B92" s="60"/>
      <c r="C92" s="63"/>
      <c r="D92" s="101"/>
      <c r="E92" s="28" t="s">
        <v>48</v>
      </c>
      <c r="F92" s="21">
        <v>45908</v>
      </c>
      <c r="G92" s="1">
        <f t="shared" si="5"/>
        <v>0.15</v>
      </c>
      <c r="H92" s="14" t="str">
        <f t="shared" si="6"/>
        <v>진행중</v>
      </c>
      <c r="I92" s="16">
        <f t="shared" si="9"/>
        <v>0.15</v>
      </c>
      <c r="J92" s="90"/>
      <c r="K92" s="8"/>
      <c r="L92" s="36"/>
      <c r="M92" s="39"/>
      <c r="N92" s="8"/>
      <c r="O92" s="48">
        <v>0.15</v>
      </c>
      <c r="P92" s="41"/>
      <c r="Q92" s="36"/>
      <c r="R92" s="8"/>
      <c r="S92" s="8"/>
      <c r="T92" s="8"/>
      <c r="U92" s="8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2:34" ht="30" customHeight="1" x14ac:dyDescent="0.2">
      <c r="B93" s="60"/>
      <c r="C93" s="63"/>
      <c r="D93" s="98" t="s">
        <v>45</v>
      </c>
      <c r="E93" s="31" t="s">
        <v>49</v>
      </c>
      <c r="F93" s="25">
        <v>45908</v>
      </c>
      <c r="G93" s="1">
        <f t="shared" si="5"/>
        <v>0.6</v>
      </c>
      <c r="H93" s="14" t="str">
        <f t="shared" si="6"/>
        <v>진행중</v>
      </c>
      <c r="I93" s="16">
        <f>G93</f>
        <v>0.6</v>
      </c>
      <c r="J93" s="90"/>
      <c r="K93" s="8">
        <v>0.15</v>
      </c>
      <c r="L93" s="36"/>
      <c r="M93" s="39"/>
      <c r="N93" s="8">
        <v>0.35</v>
      </c>
      <c r="O93" s="48">
        <v>0.1</v>
      </c>
      <c r="P93" s="41"/>
      <c r="Q93" s="36"/>
      <c r="R93" s="8"/>
      <c r="S93" s="8"/>
      <c r="T93" s="8"/>
      <c r="U93" s="8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2:34" ht="30" customHeight="1" x14ac:dyDescent="0.2">
      <c r="B94" s="60"/>
      <c r="C94" s="63"/>
      <c r="D94" s="98"/>
      <c r="E94" s="31" t="s">
        <v>50</v>
      </c>
      <c r="F94" s="21">
        <v>45908</v>
      </c>
      <c r="G94" s="1">
        <f t="shared" si="5"/>
        <v>0.6</v>
      </c>
      <c r="H94" s="14" t="str">
        <f t="shared" si="6"/>
        <v>진행중</v>
      </c>
      <c r="I94" s="16">
        <f t="shared" si="9"/>
        <v>0.6</v>
      </c>
      <c r="J94" s="90"/>
      <c r="K94" s="8">
        <v>0.15</v>
      </c>
      <c r="L94" s="36"/>
      <c r="M94" s="39"/>
      <c r="N94" s="8">
        <v>0.35</v>
      </c>
      <c r="O94" s="48">
        <v>0.1</v>
      </c>
      <c r="P94" s="41"/>
      <c r="Q94" s="36"/>
      <c r="R94" s="8"/>
      <c r="S94" s="8"/>
      <c r="T94" s="8"/>
      <c r="U94" s="8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2:34" ht="30" customHeight="1" x14ac:dyDescent="0.2">
      <c r="B95" s="60"/>
      <c r="C95" s="63"/>
      <c r="D95" s="98"/>
      <c r="E95" s="31" t="s">
        <v>51</v>
      </c>
      <c r="F95" s="21">
        <v>45908</v>
      </c>
      <c r="G95" s="1">
        <f t="shared" si="5"/>
        <v>0.6</v>
      </c>
      <c r="H95" s="14" t="str">
        <f t="shared" si="6"/>
        <v>진행중</v>
      </c>
      <c r="I95" s="16">
        <f>G95</f>
        <v>0.6</v>
      </c>
      <c r="J95" s="90"/>
      <c r="K95" s="8">
        <v>0.15</v>
      </c>
      <c r="L95" s="36"/>
      <c r="M95" s="39"/>
      <c r="N95" s="8">
        <v>0.35</v>
      </c>
      <c r="O95" s="48">
        <v>0.1</v>
      </c>
      <c r="P95" s="41"/>
      <c r="Q95" s="36"/>
      <c r="R95" s="8"/>
      <c r="S95" s="8"/>
      <c r="T95" s="8"/>
      <c r="U95" s="8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2:34" ht="30" customHeight="1" x14ac:dyDescent="0.2">
      <c r="B96" s="60"/>
      <c r="C96" s="63"/>
      <c r="D96" s="101"/>
      <c r="E96" s="31" t="s">
        <v>52</v>
      </c>
      <c r="F96" s="21">
        <v>45908</v>
      </c>
      <c r="G96" s="1">
        <f t="shared" si="5"/>
        <v>0.6</v>
      </c>
      <c r="H96" s="14" t="str">
        <f t="shared" si="6"/>
        <v>진행중</v>
      </c>
      <c r="I96" s="16">
        <f t="shared" si="9"/>
        <v>0.6</v>
      </c>
      <c r="J96" s="90"/>
      <c r="K96" s="8">
        <v>0.15</v>
      </c>
      <c r="L96" s="36"/>
      <c r="M96" s="39"/>
      <c r="N96" s="8">
        <v>0.35</v>
      </c>
      <c r="O96" s="48">
        <v>0.1</v>
      </c>
      <c r="P96" s="41"/>
      <c r="Q96" s="36"/>
      <c r="R96" s="8"/>
      <c r="S96" s="8"/>
      <c r="T96" s="8"/>
      <c r="U96" s="8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2:34" ht="30" customHeight="1" x14ac:dyDescent="0.2">
      <c r="B97" s="60"/>
      <c r="C97" s="63"/>
      <c r="D97" s="102" t="s">
        <v>46</v>
      </c>
      <c r="E97" s="32" t="s">
        <v>53</v>
      </c>
      <c r="F97" s="21">
        <v>45908</v>
      </c>
      <c r="G97" s="1">
        <f t="shared" ref="G97:G127" si="10">SUM(K97:U97)</f>
        <v>0</v>
      </c>
      <c r="H97" s="14" t="str">
        <f t="shared" ref="H97:H127" si="11">IF(G97=100%, "완료", IF(G97=0%, "예정", IF(AND(G97&gt;0%, G97&lt;100%), "진행중", "")))</f>
        <v>예정</v>
      </c>
      <c r="I97" s="16">
        <f>G97</f>
        <v>0</v>
      </c>
      <c r="J97" s="90"/>
      <c r="K97" s="8"/>
      <c r="L97" s="36"/>
      <c r="M97" s="39"/>
      <c r="N97" s="8"/>
      <c r="O97" s="48"/>
      <c r="P97" s="41"/>
      <c r="Q97" s="36"/>
      <c r="R97" s="8"/>
      <c r="S97" s="8"/>
      <c r="T97" s="8"/>
      <c r="U97" s="8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2:34" ht="30" customHeight="1" x14ac:dyDescent="0.2">
      <c r="B98" s="60"/>
      <c r="C98" s="63"/>
      <c r="D98" s="103"/>
      <c r="E98" s="32" t="s">
        <v>54</v>
      </c>
      <c r="F98" s="21">
        <v>45908</v>
      </c>
      <c r="G98" s="1">
        <f t="shared" si="10"/>
        <v>0</v>
      </c>
      <c r="H98" s="14" t="str">
        <f t="shared" si="11"/>
        <v>예정</v>
      </c>
      <c r="I98" s="16">
        <f t="shared" si="9"/>
        <v>0</v>
      </c>
      <c r="J98" s="90"/>
      <c r="K98" s="8"/>
      <c r="L98" s="36"/>
      <c r="M98" s="39"/>
      <c r="N98" s="8"/>
      <c r="O98" s="48"/>
      <c r="P98" s="41"/>
      <c r="Q98" s="36"/>
      <c r="R98" s="8"/>
      <c r="S98" s="8"/>
      <c r="T98" s="8"/>
      <c r="U98" s="8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2:34" ht="30" customHeight="1" x14ac:dyDescent="0.2">
      <c r="B99" s="60"/>
      <c r="C99" s="63"/>
      <c r="D99" s="103"/>
      <c r="E99" s="32" t="s">
        <v>55</v>
      </c>
      <c r="F99" s="25">
        <v>45908</v>
      </c>
      <c r="G99" s="1">
        <f t="shared" si="10"/>
        <v>0</v>
      </c>
      <c r="H99" s="14" t="str">
        <f t="shared" si="11"/>
        <v>예정</v>
      </c>
      <c r="I99" s="16">
        <f>G99</f>
        <v>0</v>
      </c>
      <c r="J99" s="90"/>
      <c r="K99" s="8"/>
      <c r="L99" s="36"/>
      <c r="M99" s="39"/>
      <c r="N99" s="8"/>
      <c r="O99" s="48"/>
      <c r="P99" s="41"/>
      <c r="Q99" s="36"/>
      <c r="R99" s="8"/>
      <c r="S99" s="8"/>
      <c r="T99" s="8"/>
      <c r="U99" s="8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2:34" ht="30" customHeight="1" x14ac:dyDescent="0.2">
      <c r="B100" s="60"/>
      <c r="C100" s="63"/>
      <c r="D100" s="103"/>
      <c r="E100" s="33" t="s">
        <v>56</v>
      </c>
      <c r="F100" s="21">
        <v>45908</v>
      </c>
      <c r="G100" s="1">
        <f t="shared" si="10"/>
        <v>0</v>
      </c>
      <c r="H100" s="14" t="str">
        <f t="shared" si="11"/>
        <v>예정</v>
      </c>
      <c r="I100" s="16">
        <f t="shared" ref="I100:I112" si="12">G100</f>
        <v>0</v>
      </c>
      <c r="J100" s="90"/>
      <c r="K100" s="8"/>
      <c r="L100" s="36"/>
      <c r="M100" s="39"/>
      <c r="N100" s="8"/>
      <c r="O100" s="48"/>
      <c r="P100" s="41"/>
      <c r="Q100" s="36"/>
      <c r="R100" s="8"/>
      <c r="S100" s="8"/>
      <c r="T100" s="8"/>
      <c r="U100" s="8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2:34" ht="30" customHeight="1" thickBot="1" x14ac:dyDescent="0.25">
      <c r="B101" s="61"/>
      <c r="C101" s="64"/>
      <c r="D101" s="104"/>
      <c r="E101" s="34" t="s">
        <v>57</v>
      </c>
      <c r="F101" s="24">
        <v>45908</v>
      </c>
      <c r="G101" s="6">
        <f t="shared" si="10"/>
        <v>0.79999999999999993</v>
      </c>
      <c r="H101" s="13" t="str">
        <f t="shared" si="11"/>
        <v>진행중</v>
      </c>
      <c r="I101" s="17">
        <f>G101</f>
        <v>0.79999999999999993</v>
      </c>
      <c r="J101" s="90"/>
      <c r="K101" s="8">
        <v>0.4</v>
      </c>
      <c r="L101" s="36"/>
      <c r="M101" s="39"/>
      <c r="N101" s="8">
        <v>0.3</v>
      </c>
      <c r="O101" s="48">
        <v>0.1</v>
      </c>
      <c r="P101" s="41"/>
      <c r="Q101" s="36"/>
      <c r="R101" s="8"/>
      <c r="S101" s="8"/>
      <c r="T101" s="8"/>
      <c r="U101" s="8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2:34" ht="30" customHeight="1" x14ac:dyDescent="0.2">
      <c r="B102" s="95" t="s">
        <v>70</v>
      </c>
      <c r="C102" s="62" t="s">
        <v>71</v>
      </c>
      <c r="D102" s="62" t="s">
        <v>29</v>
      </c>
      <c r="E102" s="35" t="s">
        <v>21</v>
      </c>
      <c r="F102" s="23">
        <v>45895</v>
      </c>
      <c r="G102" s="20">
        <f t="shared" si="10"/>
        <v>0</v>
      </c>
      <c r="H102" s="14" t="str">
        <f t="shared" si="11"/>
        <v>예정</v>
      </c>
      <c r="I102" s="16">
        <f t="shared" si="12"/>
        <v>0</v>
      </c>
      <c r="J102" s="90"/>
      <c r="K102" s="8"/>
      <c r="L102" s="36"/>
      <c r="M102" s="39"/>
      <c r="N102" s="8"/>
      <c r="O102" s="48"/>
      <c r="P102" s="41"/>
      <c r="Q102" s="36"/>
      <c r="R102" s="8"/>
      <c r="S102" s="8"/>
      <c r="T102" s="8"/>
      <c r="U102" s="8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2:34" ht="30" customHeight="1" x14ac:dyDescent="0.2">
      <c r="B103" s="96"/>
      <c r="C103" s="63"/>
      <c r="D103" s="63"/>
      <c r="E103" s="27" t="s">
        <v>22</v>
      </c>
      <c r="F103" s="23">
        <v>45895</v>
      </c>
      <c r="G103" s="1">
        <f t="shared" si="10"/>
        <v>0</v>
      </c>
      <c r="H103" s="14" t="str">
        <f t="shared" si="11"/>
        <v>예정</v>
      </c>
      <c r="I103" s="16">
        <f>G103</f>
        <v>0</v>
      </c>
      <c r="J103" s="90"/>
      <c r="K103" s="8"/>
      <c r="L103" s="36"/>
      <c r="M103" s="39"/>
      <c r="N103" s="8"/>
      <c r="O103" s="48"/>
      <c r="P103" s="41"/>
      <c r="Q103" s="36"/>
      <c r="R103" s="8"/>
      <c r="S103" s="8"/>
      <c r="T103" s="8"/>
      <c r="U103" s="8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2:34" ht="30" customHeight="1" x14ac:dyDescent="0.2">
      <c r="B104" s="96"/>
      <c r="C104" s="63"/>
      <c r="D104" s="63"/>
      <c r="E104" s="27" t="s">
        <v>23</v>
      </c>
      <c r="F104" s="23">
        <v>45895</v>
      </c>
      <c r="G104" s="1">
        <f t="shared" si="10"/>
        <v>0</v>
      </c>
      <c r="H104" s="14" t="str">
        <f t="shared" si="11"/>
        <v>예정</v>
      </c>
      <c r="I104" s="16">
        <f t="shared" si="12"/>
        <v>0</v>
      </c>
      <c r="J104" s="90"/>
      <c r="K104" s="8"/>
      <c r="L104" s="36"/>
      <c r="M104" s="39"/>
      <c r="N104" s="8"/>
      <c r="O104" s="48"/>
      <c r="P104" s="41"/>
      <c r="Q104" s="36"/>
      <c r="R104" s="8"/>
      <c r="S104" s="8"/>
      <c r="T104" s="8"/>
      <c r="U104" s="8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2:34" ht="30" customHeight="1" x14ac:dyDescent="0.2">
      <c r="B105" s="96"/>
      <c r="C105" s="63"/>
      <c r="D105" s="63"/>
      <c r="E105" s="27" t="s">
        <v>27</v>
      </c>
      <c r="F105" s="23">
        <v>45895</v>
      </c>
      <c r="G105" s="1">
        <f t="shared" si="10"/>
        <v>0</v>
      </c>
      <c r="H105" s="14" t="str">
        <f t="shared" si="11"/>
        <v>예정</v>
      </c>
      <c r="I105" s="16">
        <f>G105</f>
        <v>0</v>
      </c>
      <c r="J105" s="90"/>
      <c r="K105" s="8"/>
      <c r="L105" s="36"/>
      <c r="M105" s="39"/>
      <c r="N105" s="8"/>
      <c r="O105" s="48"/>
      <c r="P105" s="41"/>
      <c r="Q105" s="36"/>
      <c r="R105" s="8"/>
      <c r="S105" s="8"/>
      <c r="T105" s="8"/>
      <c r="U105" s="8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2:34" ht="30" customHeight="1" x14ac:dyDescent="0.2">
      <c r="B106" s="96"/>
      <c r="C106" s="63"/>
      <c r="D106" s="63"/>
      <c r="E106" s="27" t="s">
        <v>24</v>
      </c>
      <c r="F106" s="23">
        <v>45895</v>
      </c>
      <c r="G106" s="1">
        <f t="shared" si="10"/>
        <v>0</v>
      </c>
      <c r="H106" s="14" t="str">
        <f t="shared" si="11"/>
        <v>예정</v>
      </c>
      <c r="I106" s="16">
        <f t="shared" si="12"/>
        <v>0</v>
      </c>
      <c r="J106" s="90"/>
      <c r="K106" s="8"/>
      <c r="L106" s="36"/>
      <c r="M106" s="39"/>
      <c r="N106" s="8"/>
      <c r="O106" s="48"/>
      <c r="P106" s="41"/>
      <c r="Q106" s="36"/>
      <c r="R106" s="8"/>
      <c r="S106" s="8"/>
      <c r="T106" s="8"/>
      <c r="U106" s="8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2:34" ht="30" customHeight="1" x14ac:dyDescent="0.2">
      <c r="B107" s="96"/>
      <c r="C107" s="63"/>
      <c r="D107" s="99"/>
      <c r="E107" s="28" t="s">
        <v>25</v>
      </c>
      <c r="F107" s="23">
        <v>45895</v>
      </c>
      <c r="G107" s="1">
        <f t="shared" si="10"/>
        <v>0</v>
      </c>
      <c r="H107" s="14" t="str">
        <f t="shared" si="11"/>
        <v>예정</v>
      </c>
      <c r="I107" s="16">
        <f>G107</f>
        <v>0</v>
      </c>
      <c r="J107" s="90"/>
      <c r="K107" s="8"/>
      <c r="L107" s="36"/>
      <c r="M107" s="39"/>
      <c r="N107" s="8"/>
      <c r="O107" s="48"/>
      <c r="P107" s="41"/>
      <c r="Q107" s="36"/>
      <c r="R107" s="8"/>
      <c r="S107" s="8"/>
      <c r="T107" s="8"/>
      <c r="U107" s="8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2:34" ht="30" customHeight="1" x14ac:dyDescent="0.2">
      <c r="B108" s="96"/>
      <c r="C108" s="63"/>
      <c r="D108" s="100" t="s">
        <v>28</v>
      </c>
      <c r="E108" s="26" t="s">
        <v>32</v>
      </c>
      <c r="F108" s="23">
        <v>45895</v>
      </c>
      <c r="G108" s="1">
        <f t="shared" si="10"/>
        <v>0</v>
      </c>
      <c r="H108" s="14" t="str">
        <f t="shared" si="11"/>
        <v>예정</v>
      </c>
      <c r="I108" s="16">
        <f t="shared" si="12"/>
        <v>0</v>
      </c>
      <c r="J108" s="90"/>
      <c r="K108" s="8"/>
      <c r="L108" s="36"/>
      <c r="M108" s="39"/>
      <c r="N108" s="8"/>
      <c r="O108" s="48"/>
      <c r="P108" s="41"/>
      <c r="Q108" s="36"/>
      <c r="R108" s="8"/>
      <c r="S108" s="8"/>
      <c r="T108" s="8"/>
      <c r="U108" s="8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2:34" ht="30" customHeight="1" x14ac:dyDescent="0.2">
      <c r="B109" s="96"/>
      <c r="C109" s="63"/>
      <c r="D109" s="98"/>
      <c r="E109" s="26" t="s">
        <v>31</v>
      </c>
      <c r="F109" s="23">
        <v>45895</v>
      </c>
      <c r="G109" s="1">
        <f t="shared" si="10"/>
        <v>0</v>
      </c>
      <c r="H109" s="14" t="str">
        <f t="shared" si="11"/>
        <v>예정</v>
      </c>
      <c r="I109" s="16">
        <f>G109</f>
        <v>0</v>
      </c>
      <c r="J109" s="90"/>
      <c r="K109" s="8"/>
      <c r="L109" s="36"/>
      <c r="M109" s="39"/>
      <c r="N109" s="8"/>
      <c r="O109" s="48"/>
      <c r="P109" s="41"/>
      <c r="Q109" s="36"/>
      <c r="R109" s="8"/>
      <c r="S109" s="8"/>
      <c r="T109" s="8"/>
      <c r="U109" s="8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2:34" ht="30" customHeight="1" x14ac:dyDescent="0.2">
      <c r="B110" s="96"/>
      <c r="C110" s="63"/>
      <c r="D110" s="98"/>
      <c r="E110" s="27" t="s">
        <v>30</v>
      </c>
      <c r="F110" s="23">
        <v>45895</v>
      </c>
      <c r="G110" s="1">
        <f t="shared" si="10"/>
        <v>0</v>
      </c>
      <c r="H110" s="14" t="str">
        <f t="shared" si="11"/>
        <v>예정</v>
      </c>
      <c r="I110" s="16">
        <f t="shared" si="12"/>
        <v>0</v>
      </c>
      <c r="J110" s="90"/>
      <c r="K110" s="8"/>
      <c r="L110" s="36"/>
      <c r="M110" s="39"/>
      <c r="N110" s="8"/>
      <c r="O110" s="48"/>
      <c r="P110" s="41"/>
      <c r="Q110" s="36"/>
      <c r="R110" s="8"/>
      <c r="S110" s="8"/>
      <c r="T110" s="8"/>
      <c r="U110" s="8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2:34" ht="30" customHeight="1" x14ac:dyDescent="0.2">
      <c r="B111" s="96"/>
      <c r="C111" s="63"/>
      <c r="D111" s="98"/>
      <c r="E111" s="29" t="s">
        <v>78</v>
      </c>
      <c r="F111" s="23">
        <v>45895</v>
      </c>
      <c r="G111" s="1">
        <f t="shared" si="10"/>
        <v>0</v>
      </c>
      <c r="H111" s="14" t="str">
        <f t="shared" si="11"/>
        <v>예정</v>
      </c>
      <c r="I111" s="16">
        <f>G111</f>
        <v>0</v>
      </c>
      <c r="J111" s="90"/>
      <c r="K111" s="8"/>
      <c r="L111" s="36"/>
      <c r="M111" s="39"/>
      <c r="N111" s="8"/>
      <c r="O111" s="48"/>
      <c r="P111" s="41"/>
      <c r="Q111" s="36"/>
      <c r="R111" s="8"/>
      <c r="S111" s="8"/>
      <c r="T111" s="8"/>
      <c r="U111" s="8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2:34" ht="30" customHeight="1" x14ac:dyDescent="0.2">
      <c r="B112" s="96"/>
      <c r="C112" s="63"/>
      <c r="D112" s="98"/>
      <c r="E112" s="29" t="s">
        <v>36</v>
      </c>
      <c r="F112" s="23">
        <v>45895</v>
      </c>
      <c r="G112" s="1">
        <f t="shared" si="10"/>
        <v>0</v>
      </c>
      <c r="H112" s="14" t="str">
        <f t="shared" si="11"/>
        <v>예정</v>
      </c>
      <c r="I112" s="16">
        <f t="shared" si="12"/>
        <v>0</v>
      </c>
      <c r="J112" s="90"/>
      <c r="K112" s="8"/>
      <c r="L112" s="36"/>
      <c r="M112" s="39"/>
      <c r="N112" s="8"/>
      <c r="O112" s="48"/>
      <c r="P112" s="41"/>
      <c r="Q112" s="36"/>
      <c r="R112" s="8"/>
      <c r="S112" s="8"/>
      <c r="T112" s="8"/>
      <c r="U112" s="8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2:34" ht="30" customHeight="1" x14ac:dyDescent="0.2">
      <c r="B113" s="96"/>
      <c r="C113" s="63"/>
      <c r="D113" s="98"/>
      <c r="E113" s="27" t="s">
        <v>33</v>
      </c>
      <c r="F113" s="23">
        <v>45895</v>
      </c>
      <c r="G113" s="1">
        <f t="shared" si="10"/>
        <v>0</v>
      </c>
      <c r="H113" s="14" t="str">
        <f t="shared" si="11"/>
        <v>예정</v>
      </c>
      <c r="I113" s="16">
        <f>G113</f>
        <v>0</v>
      </c>
      <c r="J113" s="90"/>
      <c r="K113" s="8"/>
      <c r="L113" s="36"/>
      <c r="M113" s="39"/>
      <c r="N113" s="8"/>
      <c r="O113" s="48"/>
      <c r="P113" s="41"/>
      <c r="Q113" s="36"/>
      <c r="R113" s="8"/>
      <c r="S113" s="8"/>
      <c r="T113" s="8"/>
      <c r="U113" s="8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2:34" ht="30" customHeight="1" x14ac:dyDescent="0.2">
      <c r="B114" s="96"/>
      <c r="C114" s="63"/>
      <c r="D114" s="98"/>
      <c r="E114" s="29" t="s">
        <v>35</v>
      </c>
      <c r="F114" s="23">
        <v>45895</v>
      </c>
      <c r="G114" s="1">
        <f t="shared" si="10"/>
        <v>0</v>
      </c>
      <c r="H114" s="14" t="str">
        <f t="shared" si="11"/>
        <v>예정</v>
      </c>
      <c r="I114" s="16">
        <f t="shared" ref="I114:I137" si="13">G114</f>
        <v>0</v>
      </c>
      <c r="J114" s="90"/>
      <c r="K114" s="8"/>
      <c r="L114" s="36"/>
      <c r="M114" s="39"/>
      <c r="N114" s="8"/>
      <c r="O114" s="48"/>
      <c r="P114" s="41"/>
      <c r="Q114" s="36"/>
      <c r="R114" s="8"/>
      <c r="S114" s="8"/>
      <c r="T114" s="8"/>
      <c r="U114" s="8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2:34" ht="30" customHeight="1" x14ac:dyDescent="0.2">
      <c r="B115" s="96"/>
      <c r="C115" s="63"/>
      <c r="D115" s="98"/>
      <c r="E115" s="29" t="s">
        <v>37</v>
      </c>
      <c r="F115" s="23">
        <v>45895</v>
      </c>
      <c r="G115" s="1">
        <f t="shared" si="10"/>
        <v>0</v>
      </c>
      <c r="H115" s="14" t="str">
        <f t="shared" si="11"/>
        <v>예정</v>
      </c>
      <c r="I115" s="16">
        <f t="shared" si="13"/>
        <v>0</v>
      </c>
      <c r="J115" s="90"/>
      <c r="K115" s="8"/>
      <c r="L115" s="36"/>
      <c r="M115" s="39"/>
      <c r="N115" s="8"/>
      <c r="O115" s="48"/>
      <c r="P115" s="41"/>
      <c r="Q115" s="36"/>
      <c r="R115" s="8"/>
      <c r="S115" s="8"/>
      <c r="T115" s="8"/>
      <c r="U115" s="8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2:34" ht="30" customHeight="1" x14ac:dyDescent="0.2">
      <c r="B116" s="96"/>
      <c r="C116" s="63"/>
      <c r="D116" s="98"/>
      <c r="E116" s="29" t="s">
        <v>38</v>
      </c>
      <c r="F116" s="23">
        <v>45895</v>
      </c>
      <c r="G116" s="1">
        <f t="shared" si="10"/>
        <v>0</v>
      </c>
      <c r="H116" s="14" t="str">
        <f t="shared" si="11"/>
        <v>예정</v>
      </c>
      <c r="I116" s="16">
        <f>G116</f>
        <v>0</v>
      </c>
      <c r="J116" s="90"/>
      <c r="K116" s="8"/>
      <c r="L116" s="36"/>
      <c r="M116" s="39"/>
      <c r="N116" s="8"/>
      <c r="O116" s="48"/>
      <c r="P116" s="41"/>
      <c r="Q116" s="36"/>
      <c r="R116" s="8"/>
      <c r="S116" s="8"/>
      <c r="T116" s="8"/>
      <c r="U116" s="8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2:34" ht="30" customHeight="1" x14ac:dyDescent="0.2">
      <c r="B117" s="96"/>
      <c r="C117" s="63"/>
      <c r="D117" s="98"/>
      <c r="E117" s="29" t="s">
        <v>39</v>
      </c>
      <c r="F117" s="23">
        <v>45895</v>
      </c>
      <c r="G117" s="1">
        <f t="shared" si="10"/>
        <v>0</v>
      </c>
      <c r="H117" s="14" t="str">
        <f t="shared" si="11"/>
        <v>예정</v>
      </c>
      <c r="I117" s="16">
        <f t="shared" si="13"/>
        <v>0</v>
      </c>
      <c r="J117" s="90"/>
      <c r="K117" s="8"/>
      <c r="L117" s="36"/>
      <c r="M117" s="39"/>
      <c r="N117" s="8"/>
      <c r="O117" s="48"/>
      <c r="P117" s="41"/>
      <c r="Q117" s="36"/>
      <c r="R117" s="8"/>
      <c r="S117" s="8"/>
      <c r="T117" s="8"/>
      <c r="U117" s="8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2:34" ht="30" customHeight="1" x14ac:dyDescent="0.2">
      <c r="B118" s="96"/>
      <c r="C118" s="63"/>
      <c r="D118" s="98"/>
      <c r="E118" s="30" t="s">
        <v>40</v>
      </c>
      <c r="F118" s="23">
        <v>45895</v>
      </c>
      <c r="G118" s="1">
        <f t="shared" si="10"/>
        <v>0</v>
      </c>
      <c r="H118" s="14" t="str">
        <f t="shared" si="11"/>
        <v>예정</v>
      </c>
      <c r="I118" s="16">
        <f>G118</f>
        <v>0</v>
      </c>
      <c r="J118" s="90"/>
      <c r="K118" s="8"/>
      <c r="L118" s="36"/>
      <c r="M118" s="39"/>
      <c r="N118" s="8"/>
      <c r="O118" s="48"/>
      <c r="P118" s="41"/>
      <c r="Q118" s="36"/>
      <c r="R118" s="8"/>
      <c r="S118" s="8"/>
      <c r="T118" s="8"/>
      <c r="U118" s="8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2:34" ht="30" customHeight="1" x14ac:dyDescent="0.2">
      <c r="B119" s="96"/>
      <c r="C119" s="63"/>
      <c r="D119" s="98"/>
      <c r="E119" s="29" t="s">
        <v>41</v>
      </c>
      <c r="F119" s="23">
        <v>45895</v>
      </c>
      <c r="G119" s="1">
        <f t="shared" si="10"/>
        <v>0</v>
      </c>
      <c r="H119" s="14" t="str">
        <f t="shared" si="11"/>
        <v>예정</v>
      </c>
      <c r="I119" s="16">
        <f t="shared" si="13"/>
        <v>0</v>
      </c>
      <c r="J119" s="90"/>
      <c r="K119" s="8"/>
      <c r="L119" s="36"/>
      <c r="M119" s="39"/>
      <c r="N119" s="8"/>
      <c r="O119" s="48"/>
      <c r="P119" s="41"/>
      <c r="Q119" s="36"/>
      <c r="R119" s="8"/>
      <c r="S119" s="8"/>
      <c r="T119" s="8"/>
      <c r="U119" s="8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2:34" ht="30" customHeight="1" x14ac:dyDescent="0.2">
      <c r="B120" s="96"/>
      <c r="C120" s="63"/>
      <c r="D120" s="98"/>
      <c r="E120" s="29" t="s">
        <v>42</v>
      </c>
      <c r="F120" s="23">
        <v>45895</v>
      </c>
      <c r="G120" s="1">
        <f t="shared" si="10"/>
        <v>0</v>
      </c>
      <c r="H120" s="14" t="str">
        <f t="shared" si="11"/>
        <v>예정</v>
      </c>
      <c r="I120" s="16">
        <f>G120</f>
        <v>0</v>
      </c>
      <c r="J120" s="90"/>
      <c r="K120" s="8"/>
      <c r="L120" s="36"/>
      <c r="M120" s="39"/>
      <c r="N120" s="8"/>
      <c r="O120" s="48"/>
      <c r="P120" s="41"/>
      <c r="Q120" s="36"/>
      <c r="R120" s="8"/>
      <c r="S120" s="8"/>
      <c r="T120" s="8"/>
      <c r="U120" s="8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2:34" ht="30" customHeight="1" x14ac:dyDescent="0.2">
      <c r="B121" s="96"/>
      <c r="C121" s="63"/>
      <c r="D121" s="101"/>
      <c r="E121" s="28" t="s">
        <v>43</v>
      </c>
      <c r="F121" s="23">
        <v>45895</v>
      </c>
      <c r="G121" s="1">
        <f t="shared" si="10"/>
        <v>0</v>
      </c>
      <c r="H121" s="14" t="str">
        <f t="shared" si="11"/>
        <v>예정</v>
      </c>
      <c r="I121" s="16">
        <f t="shared" si="13"/>
        <v>0</v>
      </c>
      <c r="J121" s="90"/>
      <c r="K121" s="8"/>
      <c r="L121" s="36"/>
      <c r="M121" s="39"/>
      <c r="N121" s="8"/>
      <c r="O121" s="48"/>
      <c r="P121" s="41"/>
      <c r="Q121" s="36"/>
      <c r="R121" s="8"/>
      <c r="S121" s="8"/>
      <c r="T121" s="8"/>
      <c r="U121" s="8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2:34" ht="30" customHeight="1" x14ac:dyDescent="0.2">
      <c r="B122" s="96"/>
      <c r="C122" s="63"/>
      <c r="D122" s="98" t="s">
        <v>44</v>
      </c>
      <c r="E122" s="30" t="s">
        <v>47</v>
      </c>
      <c r="F122" s="23">
        <v>45895</v>
      </c>
      <c r="G122" s="1">
        <f t="shared" si="10"/>
        <v>0</v>
      </c>
      <c r="H122" s="14" t="str">
        <f t="shared" si="11"/>
        <v>예정</v>
      </c>
      <c r="I122" s="16">
        <f>G122</f>
        <v>0</v>
      </c>
      <c r="J122" s="90"/>
      <c r="K122" s="8"/>
      <c r="L122" s="36"/>
      <c r="M122" s="39"/>
      <c r="N122" s="8"/>
      <c r="O122" s="48"/>
      <c r="P122" s="41"/>
      <c r="Q122" s="36"/>
      <c r="R122" s="8"/>
      <c r="S122" s="8"/>
      <c r="T122" s="8"/>
      <c r="U122" s="8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2:34" ht="30" customHeight="1" x14ac:dyDescent="0.2">
      <c r="B123" s="96"/>
      <c r="C123" s="63"/>
      <c r="D123" s="101"/>
      <c r="E123" s="28" t="s">
        <v>48</v>
      </c>
      <c r="F123" s="23">
        <v>45895</v>
      </c>
      <c r="G123" s="1">
        <f t="shared" si="10"/>
        <v>0</v>
      </c>
      <c r="H123" s="14" t="str">
        <f t="shared" si="11"/>
        <v>예정</v>
      </c>
      <c r="I123" s="16">
        <f t="shared" si="13"/>
        <v>0</v>
      </c>
      <c r="J123" s="90"/>
      <c r="K123" s="8"/>
      <c r="L123" s="36"/>
      <c r="M123" s="39"/>
      <c r="N123" s="8"/>
      <c r="O123" s="48"/>
      <c r="P123" s="41"/>
      <c r="Q123" s="36"/>
      <c r="R123" s="8"/>
      <c r="S123" s="8"/>
      <c r="T123" s="8"/>
      <c r="U123" s="8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2:34" ht="30" customHeight="1" x14ac:dyDescent="0.2">
      <c r="B124" s="96"/>
      <c r="C124" s="63"/>
      <c r="D124" s="98" t="s">
        <v>45</v>
      </c>
      <c r="E124" s="31" t="s">
        <v>49</v>
      </c>
      <c r="F124" s="23">
        <v>45895</v>
      </c>
      <c r="G124" s="1">
        <f t="shared" si="10"/>
        <v>0</v>
      </c>
      <c r="H124" s="14" t="str">
        <f t="shared" si="11"/>
        <v>예정</v>
      </c>
      <c r="I124" s="16">
        <f>G124</f>
        <v>0</v>
      </c>
      <c r="J124" s="90"/>
      <c r="K124" s="8"/>
      <c r="L124" s="36"/>
      <c r="M124" s="39"/>
      <c r="N124" s="8"/>
      <c r="O124" s="48"/>
      <c r="P124" s="41"/>
      <c r="Q124" s="36"/>
      <c r="R124" s="8"/>
      <c r="S124" s="8"/>
      <c r="T124" s="8"/>
      <c r="U124" s="8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2:34" ht="30" customHeight="1" x14ac:dyDescent="0.2">
      <c r="B125" s="96"/>
      <c r="C125" s="63"/>
      <c r="D125" s="98"/>
      <c r="E125" s="31" t="s">
        <v>50</v>
      </c>
      <c r="F125" s="23">
        <v>45895</v>
      </c>
      <c r="G125" s="1">
        <f t="shared" si="10"/>
        <v>0</v>
      </c>
      <c r="H125" s="14" t="str">
        <f t="shared" si="11"/>
        <v>예정</v>
      </c>
      <c r="I125" s="16">
        <f t="shared" si="13"/>
        <v>0</v>
      </c>
      <c r="J125" s="90"/>
      <c r="K125" s="8"/>
      <c r="L125" s="36"/>
      <c r="M125" s="39"/>
      <c r="N125" s="8"/>
      <c r="O125" s="48"/>
      <c r="P125" s="41"/>
      <c r="Q125" s="36"/>
      <c r="R125" s="8"/>
      <c r="S125" s="8"/>
      <c r="T125" s="8"/>
      <c r="U125" s="8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2:34" ht="30" customHeight="1" x14ac:dyDescent="0.2">
      <c r="B126" s="96"/>
      <c r="C126" s="63"/>
      <c r="D126" s="98"/>
      <c r="E126" s="31" t="s">
        <v>51</v>
      </c>
      <c r="F126" s="23">
        <v>45895</v>
      </c>
      <c r="G126" s="1">
        <f t="shared" si="10"/>
        <v>0</v>
      </c>
      <c r="H126" s="14" t="str">
        <f t="shared" si="11"/>
        <v>예정</v>
      </c>
      <c r="I126" s="16">
        <f>G126</f>
        <v>0</v>
      </c>
      <c r="J126" s="90"/>
      <c r="K126" s="8"/>
      <c r="L126" s="36"/>
      <c r="M126" s="39"/>
      <c r="N126" s="8"/>
      <c r="O126" s="48"/>
      <c r="P126" s="41"/>
      <c r="Q126" s="36"/>
      <c r="R126" s="8"/>
      <c r="S126" s="8"/>
      <c r="T126" s="8"/>
      <c r="U126" s="8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2:34" ht="30" customHeight="1" x14ac:dyDescent="0.2">
      <c r="B127" s="96"/>
      <c r="C127" s="63"/>
      <c r="D127" s="101"/>
      <c r="E127" s="31" t="s">
        <v>52</v>
      </c>
      <c r="F127" s="23">
        <v>45895</v>
      </c>
      <c r="G127" s="1">
        <f t="shared" si="10"/>
        <v>0</v>
      </c>
      <c r="H127" s="14" t="str">
        <f t="shared" si="11"/>
        <v>예정</v>
      </c>
      <c r="I127" s="16">
        <f t="shared" si="13"/>
        <v>0</v>
      </c>
      <c r="J127" s="90"/>
      <c r="K127" s="8"/>
      <c r="L127" s="36"/>
      <c r="M127" s="39"/>
      <c r="N127" s="8"/>
      <c r="O127" s="48"/>
      <c r="P127" s="41"/>
      <c r="Q127" s="36"/>
      <c r="R127" s="8"/>
      <c r="S127" s="8"/>
      <c r="T127" s="8"/>
      <c r="U127" s="8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2:34" ht="30" customHeight="1" x14ac:dyDescent="0.2">
      <c r="B128" s="96"/>
      <c r="C128" s="63"/>
      <c r="D128" s="102" t="s">
        <v>46</v>
      </c>
      <c r="E128" s="32" t="s">
        <v>53</v>
      </c>
      <c r="F128" s="23">
        <v>45895</v>
      </c>
      <c r="G128" s="1">
        <f t="shared" ref="G128:G137" si="14">SUM(K128:U128)</f>
        <v>0</v>
      </c>
      <c r="H128" s="14" t="str">
        <f t="shared" ref="H128:H137" si="15">IF(G128=100%, "완료", IF(G128=0%, "예정", IF(AND(G128&gt;0%, G128&lt;100%), "진행중", "")))</f>
        <v>예정</v>
      </c>
      <c r="I128" s="16">
        <f>G128</f>
        <v>0</v>
      </c>
      <c r="J128" s="90"/>
      <c r="K128" s="8"/>
      <c r="L128" s="36"/>
      <c r="M128" s="39"/>
      <c r="N128" s="8"/>
      <c r="O128" s="48"/>
      <c r="P128" s="41"/>
      <c r="Q128" s="36"/>
      <c r="R128" s="8"/>
      <c r="S128" s="8"/>
      <c r="T128" s="8"/>
      <c r="U128" s="8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2:34" ht="30" customHeight="1" x14ac:dyDescent="0.2">
      <c r="B129" s="96"/>
      <c r="C129" s="63"/>
      <c r="D129" s="103"/>
      <c r="E129" s="32" t="s">
        <v>54</v>
      </c>
      <c r="F129" s="23">
        <v>45895</v>
      </c>
      <c r="G129" s="1">
        <f t="shared" si="14"/>
        <v>0</v>
      </c>
      <c r="H129" s="14" t="str">
        <f t="shared" si="15"/>
        <v>예정</v>
      </c>
      <c r="I129" s="16">
        <f t="shared" si="13"/>
        <v>0</v>
      </c>
      <c r="J129" s="90"/>
      <c r="K129" s="8"/>
      <c r="L129" s="36"/>
      <c r="M129" s="39"/>
      <c r="N129" s="8"/>
      <c r="O129" s="48"/>
      <c r="P129" s="41"/>
      <c r="Q129" s="36"/>
      <c r="R129" s="8"/>
      <c r="S129" s="8"/>
      <c r="T129" s="8"/>
      <c r="U129" s="8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2:34" ht="30" customHeight="1" x14ac:dyDescent="0.2">
      <c r="B130" s="96"/>
      <c r="C130" s="63"/>
      <c r="D130" s="103"/>
      <c r="E130" s="32" t="s">
        <v>55</v>
      </c>
      <c r="F130" s="23">
        <v>45895</v>
      </c>
      <c r="G130" s="1">
        <f t="shared" si="14"/>
        <v>0</v>
      </c>
      <c r="H130" s="14" t="str">
        <f t="shared" si="15"/>
        <v>예정</v>
      </c>
      <c r="I130" s="16">
        <f>G130</f>
        <v>0</v>
      </c>
      <c r="J130" s="90"/>
      <c r="K130" s="8"/>
      <c r="L130" s="36"/>
      <c r="M130" s="39"/>
      <c r="N130" s="8"/>
      <c r="O130" s="48"/>
      <c r="P130" s="41"/>
      <c r="Q130" s="36"/>
      <c r="R130" s="8"/>
      <c r="S130" s="8"/>
      <c r="T130" s="8"/>
      <c r="U130" s="8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2:34" ht="30" customHeight="1" x14ac:dyDescent="0.2">
      <c r="B131" s="96"/>
      <c r="C131" s="63"/>
      <c r="D131" s="103"/>
      <c r="E131" s="33" t="s">
        <v>56</v>
      </c>
      <c r="F131" s="56">
        <v>45895</v>
      </c>
      <c r="G131" s="1">
        <f t="shared" si="14"/>
        <v>0</v>
      </c>
      <c r="H131" s="14" t="str">
        <f t="shared" si="15"/>
        <v>예정</v>
      </c>
      <c r="I131" s="16">
        <f t="shared" si="13"/>
        <v>0</v>
      </c>
      <c r="J131" s="90"/>
      <c r="K131" s="8"/>
      <c r="L131" s="36"/>
      <c r="M131" s="39"/>
      <c r="N131" s="8"/>
      <c r="O131" s="48"/>
      <c r="P131" s="41"/>
      <c r="Q131" s="36"/>
      <c r="R131" s="8"/>
      <c r="S131" s="8"/>
      <c r="T131" s="8"/>
      <c r="U131" s="8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2:34" ht="30" customHeight="1" thickBot="1" x14ac:dyDescent="0.25">
      <c r="B132" s="97"/>
      <c r="C132" s="64"/>
      <c r="D132" s="104"/>
      <c r="E132" s="34" t="s">
        <v>57</v>
      </c>
      <c r="F132" s="58">
        <v>45895</v>
      </c>
      <c r="G132" s="6">
        <f t="shared" si="14"/>
        <v>0</v>
      </c>
      <c r="H132" s="13" t="str">
        <f t="shared" si="15"/>
        <v>예정</v>
      </c>
      <c r="I132" s="17">
        <f>G132</f>
        <v>0</v>
      </c>
      <c r="J132" s="90"/>
      <c r="K132" s="8"/>
      <c r="L132" s="36"/>
      <c r="M132" s="39"/>
      <c r="N132" s="8"/>
      <c r="O132" s="48"/>
      <c r="P132" s="41"/>
      <c r="Q132" s="36"/>
      <c r="R132" s="8"/>
      <c r="S132" s="8"/>
      <c r="T132" s="8"/>
      <c r="U132" s="8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2:34" ht="30" customHeight="1" x14ac:dyDescent="0.2">
      <c r="B133" s="59" t="s">
        <v>72</v>
      </c>
      <c r="C133" s="111" t="s">
        <v>73</v>
      </c>
      <c r="D133" s="122" t="s">
        <v>29</v>
      </c>
      <c r="E133" s="123"/>
      <c r="F133" s="57">
        <v>45910</v>
      </c>
      <c r="G133" s="51">
        <f t="shared" si="14"/>
        <v>0.8</v>
      </c>
      <c r="H133" s="14" t="str">
        <f t="shared" si="15"/>
        <v>진행중</v>
      </c>
      <c r="I133" s="16">
        <f t="shared" si="13"/>
        <v>0.8</v>
      </c>
      <c r="J133" s="90"/>
      <c r="K133" s="8"/>
      <c r="L133" s="36"/>
      <c r="M133" s="39"/>
      <c r="N133" s="8"/>
      <c r="O133" s="48"/>
      <c r="P133" s="41">
        <v>0.8</v>
      </c>
      <c r="Q133" s="36"/>
      <c r="R133" s="8"/>
      <c r="S133" s="8"/>
      <c r="T133" s="8"/>
      <c r="U133" s="8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2:34" ht="30" customHeight="1" x14ac:dyDescent="0.2">
      <c r="B134" s="60"/>
      <c r="C134" s="120"/>
      <c r="D134" s="124" t="s">
        <v>28</v>
      </c>
      <c r="E134" s="125"/>
      <c r="F134" s="54">
        <v>45910</v>
      </c>
      <c r="G134" s="52">
        <f t="shared" si="14"/>
        <v>0.8</v>
      </c>
      <c r="H134" s="14" t="str">
        <f t="shared" si="15"/>
        <v>진행중</v>
      </c>
      <c r="I134" s="16">
        <f>G134</f>
        <v>0.8</v>
      </c>
      <c r="J134" s="90"/>
      <c r="K134" s="8"/>
      <c r="L134" s="36"/>
      <c r="M134" s="39"/>
      <c r="N134" s="8"/>
      <c r="O134" s="48"/>
      <c r="P134" s="41">
        <v>0.8</v>
      </c>
      <c r="Q134" s="36"/>
      <c r="R134" s="8"/>
      <c r="S134" s="8"/>
      <c r="T134" s="8"/>
      <c r="U134" s="8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2:34" ht="30" customHeight="1" x14ac:dyDescent="0.2">
      <c r="B135" s="60"/>
      <c r="C135" s="120"/>
      <c r="D135" s="125" t="s">
        <v>44</v>
      </c>
      <c r="E135" s="126"/>
      <c r="F135" s="54">
        <v>45910</v>
      </c>
      <c r="G135" s="52">
        <f t="shared" si="14"/>
        <v>0.8</v>
      </c>
      <c r="H135" s="14" t="str">
        <f t="shared" si="15"/>
        <v>진행중</v>
      </c>
      <c r="I135" s="16">
        <f t="shared" si="13"/>
        <v>0.8</v>
      </c>
      <c r="J135" s="90"/>
      <c r="K135" s="8"/>
      <c r="L135" s="36"/>
      <c r="M135" s="39"/>
      <c r="N135" s="8"/>
      <c r="O135" s="48"/>
      <c r="P135" s="41">
        <v>0.8</v>
      </c>
      <c r="Q135" s="36"/>
      <c r="R135" s="8"/>
      <c r="S135" s="8"/>
      <c r="T135" s="8"/>
      <c r="U135" s="8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2:34" ht="30" customHeight="1" x14ac:dyDescent="0.2">
      <c r="B136" s="60"/>
      <c r="C136" s="120"/>
      <c r="D136" s="125" t="s">
        <v>45</v>
      </c>
      <c r="E136" s="126"/>
      <c r="F136" s="54">
        <v>45910</v>
      </c>
      <c r="G136" s="52">
        <f t="shared" si="14"/>
        <v>0.8</v>
      </c>
      <c r="H136" s="14" t="str">
        <f t="shared" si="15"/>
        <v>진행중</v>
      </c>
      <c r="I136" s="16">
        <f>G136</f>
        <v>0.8</v>
      </c>
      <c r="J136" s="90"/>
      <c r="K136" s="8"/>
      <c r="L136" s="36"/>
      <c r="M136" s="39"/>
      <c r="N136" s="8"/>
      <c r="O136" s="48"/>
      <c r="P136" s="41">
        <v>0.8</v>
      </c>
      <c r="Q136" s="36"/>
      <c r="R136" s="8"/>
      <c r="S136" s="8"/>
      <c r="T136" s="8"/>
      <c r="U136" s="8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2:34" ht="30" customHeight="1" thickBot="1" x14ac:dyDescent="0.25">
      <c r="B137" s="61"/>
      <c r="C137" s="121"/>
      <c r="D137" s="118" t="s">
        <v>46</v>
      </c>
      <c r="E137" s="119"/>
      <c r="F137" s="55">
        <v>45910</v>
      </c>
      <c r="G137" s="53">
        <f t="shared" si="14"/>
        <v>0.8</v>
      </c>
      <c r="H137" s="13" t="str">
        <f t="shared" si="15"/>
        <v>진행중</v>
      </c>
      <c r="I137" s="17">
        <f t="shared" si="13"/>
        <v>0.8</v>
      </c>
      <c r="J137" s="91"/>
      <c r="K137" s="43"/>
      <c r="L137" s="37"/>
      <c r="M137" s="40"/>
      <c r="N137" s="18"/>
      <c r="O137" s="49"/>
      <c r="P137" s="42">
        <v>0.8</v>
      </c>
      <c r="Q137" s="37"/>
      <c r="R137" s="18"/>
      <c r="S137" s="18"/>
      <c r="T137" s="18"/>
      <c r="U137" s="18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2:34" ht="20.25" customHeight="1" x14ac:dyDescent="0.2">
      <c r="F138" s="3"/>
    </row>
    <row r="139" spans="2:34" ht="13.5" x14ac:dyDescent="0.2">
      <c r="F139" s="3"/>
    </row>
    <row r="140" spans="2:34" ht="13.5" x14ac:dyDescent="0.2">
      <c r="F140" s="3"/>
    </row>
    <row r="141" spans="2:34" ht="13.5" x14ac:dyDescent="0.2">
      <c r="F141" s="3"/>
    </row>
    <row r="142" spans="2:34" ht="13.5" x14ac:dyDescent="0.2">
      <c r="F142" s="3"/>
    </row>
    <row r="143" spans="2:34" ht="17.25" customHeight="1" x14ac:dyDescent="0.2">
      <c r="F143" s="3"/>
    </row>
    <row r="144" spans="2:34" ht="17.25" customHeight="1" x14ac:dyDescent="0.2">
      <c r="F144" s="3"/>
    </row>
    <row r="145" spans="6:6" ht="17.25" customHeight="1" x14ac:dyDescent="0.2">
      <c r="F145" s="3"/>
    </row>
    <row r="146" spans="6:6" ht="17.25" customHeight="1" x14ac:dyDescent="0.2">
      <c r="F146" s="3"/>
    </row>
    <row r="147" spans="6:6" ht="17.25" customHeight="1" x14ac:dyDescent="0.2">
      <c r="F147" s="3"/>
    </row>
    <row r="148" spans="6:6" ht="17.25" customHeight="1" x14ac:dyDescent="0.2">
      <c r="F148" s="3"/>
    </row>
    <row r="149" spans="6:6" ht="17.25" customHeight="1" x14ac:dyDescent="0.2">
      <c r="F149" s="3"/>
    </row>
    <row r="150" spans="6:6" ht="17.25" customHeight="1" x14ac:dyDescent="0.2">
      <c r="F150" s="3"/>
    </row>
    <row r="151" spans="6:6" ht="17.25" customHeight="1" x14ac:dyDescent="0.2">
      <c r="F151" s="3"/>
    </row>
    <row r="152" spans="6:6" ht="13.5" x14ac:dyDescent="0.2">
      <c r="F152" s="3"/>
    </row>
    <row r="153" spans="6:6" ht="17.25" customHeight="1" x14ac:dyDescent="0.2">
      <c r="F153" s="3"/>
    </row>
    <row r="154" spans="6:6" ht="17.25" customHeight="1" x14ac:dyDescent="0.2">
      <c r="F154" s="3"/>
    </row>
    <row r="155" spans="6:6" ht="13.5" x14ac:dyDescent="0.2">
      <c r="F155" s="3"/>
    </row>
    <row r="156" spans="6:6" ht="17.25" customHeight="1" x14ac:dyDescent="0.2">
      <c r="F156" s="3"/>
    </row>
    <row r="157" spans="6:6" ht="13.5" x14ac:dyDescent="0.2">
      <c r="F157" s="3"/>
    </row>
    <row r="158" spans="6:6" ht="13.5" x14ac:dyDescent="0.2">
      <c r="F158" s="3"/>
    </row>
    <row r="159" spans="6:6" ht="13.5" x14ac:dyDescent="0.2">
      <c r="F159" s="3"/>
    </row>
    <row r="160" spans="6:6" ht="17.25" customHeight="1" x14ac:dyDescent="0.2">
      <c r="F160" s="3"/>
    </row>
    <row r="161" spans="6:6" ht="17.25" customHeight="1" x14ac:dyDescent="0.2">
      <c r="F161" s="3"/>
    </row>
    <row r="162" spans="6:6" ht="13.5" x14ac:dyDescent="0.2">
      <c r="F162" s="3"/>
    </row>
    <row r="163" spans="6:6" ht="17.25" customHeight="1" x14ac:dyDescent="0.2">
      <c r="F163" s="3"/>
    </row>
    <row r="164" spans="6:6" ht="17.25" customHeight="1" x14ac:dyDescent="0.2">
      <c r="F164" s="3"/>
    </row>
    <row r="165" spans="6:6" ht="17.25" customHeight="1" x14ac:dyDescent="0.2">
      <c r="F165" s="3"/>
    </row>
    <row r="166" spans="6:6" ht="17.25" customHeight="1" x14ac:dyDescent="0.2">
      <c r="F166" s="3"/>
    </row>
    <row r="167" spans="6:6" ht="17.25" customHeight="1" x14ac:dyDescent="0.2">
      <c r="F167" s="3"/>
    </row>
    <row r="168" spans="6:6" ht="17.25" customHeight="1" x14ac:dyDescent="0.2">
      <c r="F168" s="3"/>
    </row>
    <row r="169" spans="6:6" ht="17.25" customHeight="1" x14ac:dyDescent="0.2">
      <c r="F169" s="3"/>
    </row>
    <row r="170" spans="6:6" ht="17.25" customHeight="1" x14ac:dyDescent="0.2">
      <c r="F170" s="3"/>
    </row>
    <row r="171" spans="6:6" ht="17.25" customHeight="1" x14ac:dyDescent="0.2">
      <c r="F171" s="3"/>
    </row>
    <row r="172" spans="6:6" ht="17.25" customHeight="1" x14ac:dyDescent="0.2">
      <c r="F172" s="3"/>
    </row>
    <row r="173" spans="6:6" ht="13.5" x14ac:dyDescent="0.2">
      <c r="F173" s="3"/>
    </row>
    <row r="174" spans="6:6" ht="18" customHeight="1" x14ac:dyDescent="0.2">
      <c r="F174" s="3"/>
    </row>
    <row r="175" spans="6:6" ht="17.25" customHeight="1" x14ac:dyDescent="0.2">
      <c r="F175" s="3"/>
    </row>
    <row r="176" spans="6:6" ht="17.25" customHeight="1" x14ac:dyDescent="0.2">
      <c r="F176" s="3"/>
    </row>
    <row r="177" spans="6:6" ht="17.25" customHeight="1" x14ac:dyDescent="0.2">
      <c r="F177" s="3"/>
    </row>
    <row r="178" spans="6:6" ht="17.25" customHeight="1" x14ac:dyDescent="0.2">
      <c r="F178" s="3"/>
    </row>
    <row r="179" spans="6:6" ht="17.25" customHeight="1" x14ac:dyDescent="0.2">
      <c r="F179" s="3"/>
    </row>
    <row r="180" spans="6:6" ht="17.25" customHeight="1" x14ac:dyDescent="0.2">
      <c r="F180" s="3"/>
    </row>
    <row r="181" spans="6:6" ht="17.25" customHeight="1" x14ac:dyDescent="0.2">
      <c r="F181" s="3"/>
    </row>
    <row r="182" spans="6:6" ht="17.25" customHeight="1" x14ac:dyDescent="0.2">
      <c r="F182" s="3"/>
    </row>
    <row r="183" spans="6:6" ht="17.25" customHeight="1" x14ac:dyDescent="0.2">
      <c r="F183" s="3"/>
    </row>
    <row r="184" spans="6:6" ht="13.5" x14ac:dyDescent="0.2">
      <c r="F184" s="3"/>
    </row>
    <row r="185" spans="6:6" ht="17.25" customHeight="1" x14ac:dyDescent="0.2">
      <c r="F185" s="3"/>
    </row>
    <row r="186" spans="6:6" ht="17.25" customHeight="1" x14ac:dyDescent="0.2">
      <c r="F186" s="3"/>
    </row>
    <row r="187" spans="6:6" ht="13.5" x14ac:dyDescent="0.2">
      <c r="F187" s="3"/>
    </row>
    <row r="188" spans="6:6" ht="17.25" customHeight="1" x14ac:dyDescent="0.2">
      <c r="F188" s="3"/>
    </row>
    <row r="189" spans="6:6" ht="13.5" x14ac:dyDescent="0.2">
      <c r="F189" s="3"/>
    </row>
    <row r="190" spans="6:6" ht="13.5" x14ac:dyDescent="0.2">
      <c r="F190" s="3"/>
    </row>
    <row r="191" spans="6:6" ht="13.5" x14ac:dyDescent="0.2">
      <c r="F191" s="3"/>
    </row>
    <row r="192" spans="6:6" ht="17.25" customHeight="1" x14ac:dyDescent="0.2">
      <c r="F192" s="3"/>
    </row>
    <row r="193" spans="6:6" ht="17.25" customHeight="1" x14ac:dyDescent="0.2">
      <c r="F193" s="3"/>
    </row>
    <row r="194" spans="6:6" ht="13.5" x14ac:dyDescent="0.2">
      <c r="F194" s="3"/>
    </row>
    <row r="195" spans="6:6" ht="17.25" customHeight="1" x14ac:dyDescent="0.2">
      <c r="F195" s="3"/>
    </row>
    <row r="196" spans="6:6" ht="17.25" customHeight="1" x14ac:dyDescent="0.2">
      <c r="F196" s="3"/>
    </row>
    <row r="197" spans="6:6" ht="17.25" customHeight="1" x14ac:dyDescent="0.2">
      <c r="F197" s="3"/>
    </row>
    <row r="198" spans="6:6" ht="17.25" customHeight="1" x14ac:dyDescent="0.2">
      <c r="F198" s="3"/>
    </row>
    <row r="199" spans="6:6" ht="17.25" customHeight="1" x14ac:dyDescent="0.2">
      <c r="F199" s="3"/>
    </row>
    <row r="200" spans="6:6" ht="17.25" customHeight="1" x14ac:dyDescent="0.2">
      <c r="F200" s="3"/>
    </row>
    <row r="201" spans="6:6" ht="17.25" customHeight="1" x14ac:dyDescent="0.2">
      <c r="F201" s="3"/>
    </row>
    <row r="202" spans="6:6" ht="17.25" customHeight="1" x14ac:dyDescent="0.2">
      <c r="F202" s="3"/>
    </row>
    <row r="203" spans="6:6" ht="17.25" customHeight="1" x14ac:dyDescent="0.2">
      <c r="F203" s="3"/>
    </row>
    <row r="204" spans="6:6" ht="17.25" customHeight="1" x14ac:dyDescent="0.2">
      <c r="F204" s="3"/>
    </row>
    <row r="205" spans="6:6" ht="13.5" x14ac:dyDescent="0.2">
      <c r="F205" s="3"/>
    </row>
    <row r="206" spans="6:6" ht="18" customHeight="1" x14ac:dyDescent="0.2">
      <c r="F206" s="3"/>
    </row>
    <row r="207" spans="6:6" ht="17.25" customHeight="1" x14ac:dyDescent="0.2">
      <c r="F207" s="3"/>
    </row>
    <row r="208" spans="6:6" ht="17.25" customHeight="1" x14ac:dyDescent="0.2">
      <c r="F208" s="3"/>
    </row>
    <row r="209" spans="6:6" ht="17.25" customHeight="1" x14ac:dyDescent="0.2">
      <c r="F209" s="3"/>
    </row>
    <row r="210" spans="6:6" ht="17.25" customHeight="1" x14ac:dyDescent="0.2">
      <c r="F210" s="3"/>
    </row>
    <row r="211" spans="6:6" ht="17.25" customHeight="1" x14ac:dyDescent="0.2">
      <c r="F211" s="3"/>
    </row>
    <row r="212" spans="6:6" ht="17.25" customHeight="1" x14ac:dyDescent="0.2">
      <c r="F212" s="3"/>
    </row>
    <row r="213" spans="6:6" ht="17.25" customHeight="1" x14ac:dyDescent="0.2">
      <c r="F213" s="3"/>
    </row>
    <row r="214" spans="6:6" ht="17.25" customHeight="1" x14ac:dyDescent="0.2">
      <c r="F214" s="3"/>
    </row>
    <row r="215" spans="6:6" ht="17.25" customHeight="1" x14ac:dyDescent="0.2">
      <c r="F215" s="3"/>
    </row>
    <row r="216" spans="6:6" ht="13.5" x14ac:dyDescent="0.2">
      <c r="F216" s="3"/>
    </row>
    <row r="217" spans="6:6" ht="17.25" customHeight="1" x14ac:dyDescent="0.2">
      <c r="F217" s="3"/>
    </row>
    <row r="218" spans="6:6" ht="17.25" customHeight="1" x14ac:dyDescent="0.2">
      <c r="F218" s="3"/>
    </row>
    <row r="219" spans="6:6" ht="13.5" x14ac:dyDescent="0.2">
      <c r="F219" s="3"/>
    </row>
    <row r="220" spans="6:6" ht="17.25" customHeight="1" x14ac:dyDescent="0.2">
      <c r="F220" s="3"/>
    </row>
    <row r="221" spans="6:6" ht="13.5" x14ac:dyDescent="0.2">
      <c r="F221" s="3"/>
    </row>
    <row r="222" spans="6:6" ht="13.5" x14ac:dyDescent="0.2">
      <c r="F222" s="3"/>
    </row>
    <row r="223" spans="6:6" ht="13.5" x14ac:dyDescent="0.2">
      <c r="F223" s="3"/>
    </row>
    <row r="224" spans="6:6" ht="17.25" customHeight="1" x14ac:dyDescent="0.2">
      <c r="F224" s="3"/>
    </row>
    <row r="225" spans="6:6" ht="17.25" customHeight="1" x14ac:dyDescent="0.2">
      <c r="F225" s="3"/>
    </row>
    <row r="226" spans="6:6" ht="13.5" x14ac:dyDescent="0.2">
      <c r="F226" s="3"/>
    </row>
    <row r="227" spans="6:6" ht="17.25" customHeight="1" x14ac:dyDescent="0.2">
      <c r="F227" s="3"/>
    </row>
    <row r="228" spans="6:6" ht="17.25" customHeight="1" x14ac:dyDescent="0.2">
      <c r="F228" s="3"/>
    </row>
    <row r="229" spans="6:6" ht="17.25" customHeight="1" x14ac:dyDescent="0.2">
      <c r="F229" s="3"/>
    </row>
    <row r="230" spans="6:6" ht="17.25" customHeight="1" x14ac:dyDescent="0.2">
      <c r="F230" s="3"/>
    </row>
    <row r="231" spans="6:6" ht="17.25" customHeight="1" x14ac:dyDescent="0.2">
      <c r="F231" s="3"/>
    </row>
    <row r="232" spans="6:6" ht="17.25" customHeight="1" x14ac:dyDescent="0.2">
      <c r="F232" s="3"/>
    </row>
    <row r="233" spans="6:6" ht="17.25" customHeight="1" x14ac:dyDescent="0.2">
      <c r="F233" s="3"/>
    </row>
    <row r="234" spans="6:6" ht="17.25" customHeight="1" x14ac:dyDescent="0.2">
      <c r="F234" s="3"/>
    </row>
    <row r="235" spans="6:6" ht="17.25" customHeight="1" x14ac:dyDescent="0.2">
      <c r="F235" s="3"/>
    </row>
    <row r="236" spans="6:6" ht="17.25" customHeight="1" x14ac:dyDescent="0.2">
      <c r="F236" s="3"/>
    </row>
    <row r="237" spans="6:6" ht="13.5" x14ac:dyDescent="0.2">
      <c r="F237" s="3"/>
    </row>
    <row r="238" spans="6:6" ht="18" customHeight="1" x14ac:dyDescent="0.2">
      <c r="F238" s="3"/>
    </row>
    <row r="239" spans="6:6" ht="17.25" customHeight="1" x14ac:dyDescent="0.2">
      <c r="F239" s="3"/>
    </row>
    <row r="240" spans="6:6" ht="17.25" customHeight="1" x14ac:dyDescent="0.2">
      <c r="F240" s="3"/>
    </row>
    <row r="241" spans="6:6" ht="17.25" customHeight="1" x14ac:dyDescent="0.2">
      <c r="F241" s="3"/>
    </row>
    <row r="242" spans="6:6" ht="17.25" customHeight="1" x14ac:dyDescent="0.2">
      <c r="F242" s="3"/>
    </row>
    <row r="243" spans="6:6" ht="17.25" customHeight="1" x14ac:dyDescent="0.2">
      <c r="F243" s="3"/>
    </row>
    <row r="244" spans="6:6" ht="17.25" customHeight="1" x14ac:dyDescent="0.2">
      <c r="F244" s="3"/>
    </row>
    <row r="245" spans="6:6" ht="17.25" customHeight="1" x14ac:dyDescent="0.2">
      <c r="F245" s="3"/>
    </row>
    <row r="246" spans="6:6" ht="17.25" customHeight="1" x14ac:dyDescent="0.2">
      <c r="F246" s="3"/>
    </row>
    <row r="247" spans="6:6" ht="17.25" customHeight="1" x14ac:dyDescent="0.2">
      <c r="F247" s="3"/>
    </row>
    <row r="248" spans="6:6" ht="13.5" x14ac:dyDescent="0.2">
      <c r="F248" s="3"/>
    </row>
    <row r="249" spans="6:6" ht="17.25" customHeight="1" x14ac:dyDescent="0.2">
      <c r="F249" s="3"/>
    </row>
    <row r="250" spans="6:6" ht="17.25" customHeight="1" x14ac:dyDescent="0.2">
      <c r="F250" s="3"/>
    </row>
    <row r="251" spans="6:6" ht="13.5" x14ac:dyDescent="0.2">
      <c r="F251" s="3"/>
    </row>
    <row r="252" spans="6:6" ht="17.25" customHeight="1" x14ac:dyDescent="0.2">
      <c r="F252" s="3"/>
    </row>
    <row r="253" spans="6:6" ht="13.5" x14ac:dyDescent="0.2">
      <c r="F253" s="3"/>
    </row>
    <row r="254" spans="6:6" ht="13.5" x14ac:dyDescent="0.2">
      <c r="F254" s="3"/>
    </row>
    <row r="255" spans="6:6" ht="13.5" x14ac:dyDescent="0.2">
      <c r="F255" s="3"/>
    </row>
    <row r="256" spans="6:6" ht="17.25" customHeight="1" x14ac:dyDescent="0.2">
      <c r="F256" s="3"/>
    </row>
    <row r="257" spans="6:6" ht="17.25" customHeight="1" x14ac:dyDescent="0.2">
      <c r="F257" s="3"/>
    </row>
    <row r="258" spans="6:6" ht="13.5" x14ac:dyDescent="0.2">
      <c r="F258" s="3"/>
    </row>
    <row r="259" spans="6:6" ht="17.25" customHeight="1" x14ac:dyDescent="0.2">
      <c r="F259" s="3"/>
    </row>
    <row r="260" spans="6:6" ht="17.25" customHeight="1" x14ac:dyDescent="0.2">
      <c r="F260" s="3"/>
    </row>
    <row r="261" spans="6:6" ht="17.25" customHeight="1" x14ac:dyDescent="0.2">
      <c r="F261" s="3"/>
    </row>
    <row r="262" spans="6:6" ht="17.25" customHeight="1" x14ac:dyDescent="0.2">
      <c r="F262" s="3"/>
    </row>
    <row r="263" spans="6:6" ht="17.25" customHeight="1" x14ac:dyDescent="0.2">
      <c r="F263" s="3"/>
    </row>
    <row r="264" spans="6:6" ht="17.25" customHeight="1" x14ac:dyDescent="0.2">
      <c r="F264" s="3"/>
    </row>
    <row r="265" spans="6:6" ht="17.25" customHeight="1" x14ac:dyDescent="0.2">
      <c r="F265" s="3"/>
    </row>
    <row r="266" spans="6:6" ht="17.25" customHeight="1" x14ac:dyDescent="0.2">
      <c r="F266" s="3"/>
    </row>
    <row r="267" spans="6:6" ht="17.25" customHeight="1" x14ac:dyDescent="0.2">
      <c r="F267" s="3"/>
    </row>
    <row r="268" spans="6:6" ht="17.25" customHeight="1" x14ac:dyDescent="0.2">
      <c r="F268" s="3"/>
    </row>
    <row r="269" spans="6:6" ht="13.5" x14ac:dyDescent="0.2">
      <c r="F269" s="3"/>
    </row>
    <row r="270" spans="6:6" ht="18" customHeight="1" x14ac:dyDescent="0.2">
      <c r="F270" s="3"/>
    </row>
    <row r="271" spans="6:6" ht="17.25" customHeight="1" x14ac:dyDescent="0.2">
      <c r="F271" s="3"/>
    </row>
    <row r="272" spans="6:6" ht="17.25" customHeight="1" x14ac:dyDescent="0.2">
      <c r="F272" s="3"/>
    </row>
    <row r="273" spans="6:6" ht="17.25" customHeight="1" x14ac:dyDescent="0.2">
      <c r="F273" s="3"/>
    </row>
    <row r="274" spans="6:6" ht="17.25" customHeight="1" x14ac:dyDescent="0.2">
      <c r="F274" s="3"/>
    </row>
    <row r="275" spans="6:6" ht="17.25" customHeight="1" x14ac:dyDescent="0.2">
      <c r="F275" s="3"/>
    </row>
    <row r="276" spans="6:6" ht="17.25" customHeight="1" x14ac:dyDescent="0.2">
      <c r="F276" s="3"/>
    </row>
    <row r="277" spans="6:6" ht="17.25" customHeight="1" x14ac:dyDescent="0.2">
      <c r="F277" s="3"/>
    </row>
    <row r="278" spans="6:6" ht="17.25" customHeight="1" x14ac:dyDescent="0.2">
      <c r="F278" s="3"/>
    </row>
    <row r="279" spans="6:6" ht="17.25" customHeight="1" x14ac:dyDescent="0.2">
      <c r="F279" s="3"/>
    </row>
    <row r="280" spans="6:6" ht="13.5" x14ac:dyDescent="0.2">
      <c r="F280" s="3"/>
    </row>
    <row r="281" spans="6:6" ht="17.25" customHeight="1" x14ac:dyDescent="0.2">
      <c r="F281" s="3"/>
    </row>
    <row r="282" spans="6:6" ht="17.25" customHeight="1" x14ac:dyDescent="0.2">
      <c r="F282" s="3"/>
    </row>
    <row r="283" spans="6:6" ht="13.5" x14ac:dyDescent="0.2">
      <c r="F283" s="3"/>
    </row>
    <row r="284" spans="6:6" ht="17.25" customHeight="1" x14ac:dyDescent="0.2">
      <c r="F284" s="3"/>
    </row>
    <row r="285" spans="6:6" ht="13.5" x14ac:dyDescent="0.2">
      <c r="F285" s="3"/>
    </row>
    <row r="286" spans="6:6" ht="13.5" x14ac:dyDescent="0.2">
      <c r="F286" s="3"/>
    </row>
    <row r="287" spans="6:6" ht="13.5" x14ac:dyDescent="0.2">
      <c r="F287" s="3"/>
    </row>
    <row r="288" spans="6:6" ht="17.25" customHeight="1" x14ac:dyDescent="0.2">
      <c r="F288" s="3"/>
    </row>
    <row r="289" spans="6:6" ht="17.25" customHeight="1" x14ac:dyDescent="0.2">
      <c r="F289" s="3"/>
    </row>
    <row r="290" spans="6:6" ht="13.5" x14ac:dyDescent="0.2">
      <c r="F290" s="3"/>
    </row>
    <row r="291" spans="6:6" ht="17.25" customHeight="1" x14ac:dyDescent="0.2">
      <c r="F291" s="3"/>
    </row>
    <row r="292" spans="6:6" ht="17.25" customHeight="1" x14ac:dyDescent="0.2">
      <c r="F292" s="3"/>
    </row>
    <row r="293" spans="6:6" ht="17.25" customHeight="1" x14ac:dyDescent="0.2">
      <c r="F293" s="3"/>
    </row>
    <row r="294" spans="6:6" ht="17.25" customHeight="1" x14ac:dyDescent="0.2">
      <c r="F294" s="3"/>
    </row>
    <row r="295" spans="6:6" ht="17.25" customHeight="1" x14ac:dyDescent="0.2">
      <c r="F295" s="3"/>
    </row>
    <row r="296" spans="6:6" ht="17.25" customHeight="1" x14ac:dyDescent="0.2">
      <c r="F296" s="3"/>
    </row>
    <row r="297" spans="6:6" ht="17.25" customHeight="1" x14ac:dyDescent="0.2">
      <c r="F297" s="3"/>
    </row>
    <row r="298" spans="6:6" ht="17.25" customHeight="1" x14ac:dyDescent="0.2">
      <c r="F298" s="3"/>
    </row>
    <row r="299" spans="6:6" ht="17.25" customHeight="1" x14ac:dyDescent="0.2">
      <c r="F299" s="3"/>
    </row>
    <row r="300" spans="6:6" ht="17.25" customHeight="1" x14ac:dyDescent="0.2">
      <c r="F300" s="3"/>
    </row>
    <row r="301" spans="6:6" ht="13.5" x14ac:dyDescent="0.2">
      <c r="F301" s="3"/>
    </row>
    <row r="302" spans="6:6" ht="18" customHeight="1" x14ac:dyDescent="0.2">
      <c r="F302" s="3"/>
    </row>
    <row r="303" spans="6:6" ht="13.5" x14ac:dyDescent="0.2">
      <c r="F303" s="3"/>
    </row>
    <row r="304" spans="6:6" ht="13.5" x14ac:dyDescent="0.2">
      <c r="F304" s="3"/>
    </row>
    <row r="305" spans="6:6" ht="13.5" x14ac:dyDescent="0.2">
      <c r="F305" s="3"/>
    </row>
    <row r="306" spans="6:6" ht="13.5" x14ac:dyDescent="0.2">
      <c r="F306" s="3"/>
    </row>
    <row r="307" spans="6:6" ht="13.5" x14ac:dyDescent="0.2">
      <c r="F307" s="3"/>
    </row>
    <row r="308" spans="6:6" ht="13.5" x14ac:dyDescent="0.2">
      <c r="F308" s="3"/>
    </row>
    <row r="309" spans="6:6" ht="13.5" x14ac:dyDescent="0.2">
      <c r="F309" s="3"/>
    </row>
    <row r="310" spans="6:6" ht="13.5" x14ac:dyDescent="0.2">
      <c r="F310" s="3"/>
    </row>
    <row r="311" spans="6:6" ht="13.5" x14ac:dyDescent="0.2">
      <c r="F311" s="3"/>
    </row>
    <row r="312" spans="6:6" ht="13.5" x14ac:dyDescent="0.2">
      <c r="F312" s="3"/>
    </row>
    <row r="313" spans="6:6" ht="13.5" x14ac:dyDescent="0.2">
      <c r="F313" s="3"/>
    </row>
    <row r="314" spans="6:6" ht="13.5" x14ac:dyDescent="0.2">
      <c r="F314" s="3"/>
    </row>
    <row r="315" spans="6:6" ht="13.5" x14ac:dyDescent="0.2">
      <c r="F315" s="3"/>
    </row>
    <row r="316" spans="6:6" ht="13.5" x14ac:dyDescent="0.2">
      <c r="F316" s="3"/>
    </row>
    <row r="317" spans="6:6" ht="13.5" x14ac:dyDescent="0.2">
      <c r="F317" s="3"/>
    </row>
    <row r="318" spans="6:6" ht="13.5" x14ac:dyDescent="0.2">
      <c r="F318" s="3"/>
    </row>
    <row r="319" spans="6:6" ht="13.5" x14ac:dyDescent="0.2">
      <c r="F319" s="3"/>
    </row>
    <row r="320" spans="6:6" ht="13.5" x14ac:dyDescent="0.2">
      <c r="F320" s="3"/>
    </row>
    <row r="321" spans="6:6" ht="13.5" x14ac:dyDescent="0.2">
      <c r="F321" s="3"/>
    </row>
    <row r="322" spans="6:6" ht="13.5" x14ac:dyDescent="0.2">
      <c r="F322" s="3"/>
    </row>
    <row r="323" spans="6:6" ht="13.5" x14ac:dyDescent="0.2">
      <c r="F323" s="3"/>
    </row>
    <row r="324" spans="6:6" ht="13.5" x14ac:dyDescent="0.2">
      <c r="F324" s="3"/>
    </row>
    <row r="325" spans="6:6" ht="13.5" x14ac:dyDescent="0.2">
      <c r="F325" s="3"/>
    </row>
    <row r="326" spans="6:6" ht="13.5" x14ac:dyDescent="0.2">
      <c r="F326" s="3"/>
    </row>
    <row r="327" spans="6:6" ht="13.5" x14ac:dyDescent="0.2">
      <c r="F327" s="3"/>
    </row>
    <row r="328" spans="6:6" ht="13.5" x14ac:dyDescent="0.2">
      <c r="F328" s="3"/>
    </row>
    <row r="329" spans="6:6" ht="13.5" x14ac:dyDescent="0.2">
      <c r="F329" s="3"/>
    </row>
    <row r="330" spans="6:6" ht="13.5" x14ac:dyDescent="0.2">
      <c r="F330" s="3"/>
    </row>
    <row r="331" spans="6:6" ht="13.5" x14ac:dyDescent="0.2">
      <c r="F331" s="3"/>
    </row>
    <row r="332" spans="6:6" ht="13.5" x14ac:dyDescent="0.2">
      <c r="F332" s="3"/>
    </row>
    <row r="333" spans="6:6" ht="13.5" x14ac:dyDescent="0.2">
      <c r="F333" s="3"/>
    </row>
    <row r="334" spans="6:6" ht="13.5" x14ac:dyDescent="0.2">
      <c r="F334" s="3"/>
    </row>
    <row r="335" spans="6:6" ht="13.5" x14ac:dyDescent="0.2">
      <c r="F335" s="3"/>
    </row>
    <row r="336" spans="6:6" ht="13.5" x14ac:dyDescent="0.2">
      <c r="F336" s="3"/>
    </row>
    <row r="337" spans="6:6" ht="13.5" x14ac:dyDescent="0.2">
      <c r="F337" s="3"/>
    </row>
    <row r="338" spans="6:6" ht="13.5" x14ac:dyDescent="0.2">
      <c r="F338" s="3"/>
    </row>
    <row r="339" spans="6:6" ht="13.5" x14ac:dyDescent="0.2">
      <c r="F339" s="3"/>
    </row>
    <row r="340" spans="6:6" ht="13.5" x14ac:dyDescent="0.2">
      <c r="F340" s="3"/>
    </row>
    <row r="341" spans="6:6" ht="13.5" x14ac:dyDescent="0.2">
      <c r="F341" s="3"/>
    </row>
    <row r="342" spans="6:6" ht="13.5" x14ac:dyDescent="0.2">
      <c r="F342" s="3"/>
    </row>
    <row r="343" spans="6:6" ht="13.5" x14ac:dyDescent="0.2">
      <c r="F343" s="3"/>
    </row>
    <row r="344" spans="6:6" ht="13.5" x14ac:dyDescent="0.2">
      <c r="F344" s="3"/>
    </row>
    <row r="345" spans="6:6" ht="13.5" x14ac:dyDescent="0.2">
      <c r="F345" s="3"/>
    </row>
    <row r="346" spans="6:6" ht="13.5" x14ac:dyDescent="0.2">
      <c r="F346" s="3"/>
    </row>
    <row r="347" spans="6:6" ht="13.5" x14ac:dyDescent="0.2">
      <c r="F347" s="3"/>
    </row>
    <row r="348" spans="6:6" ht="13.5" x14ac:dyDescent="0.2">
      <c r="F348" s="3"/>
    </row>
    <row r="349" spans="6:6" ht="13.5" x14ac:dyDescent="0.2">
      <c r="F349" s="3"/>
    </row>
    <row r="350" spans="6:6" ht="13.5" x14ac:dyDescent="0.2">
      <c r="F350" s="3"/>
    </row>
    <row r="351" spans="6:6" ht="13.5" x14ac:dyDescent="0.2">
      <c r="F351" s="3"/>
    </row>
    <row r="352" spans="6:6" ht="13.5" x14ac:dyDescent="0.2">
      <c r="F352" s="3"/>
    </row>
    <row r="353" spans="6:6" ht="13.5" x14ac:dyDescent="0.2">
      <c r="F353" s="3"/>
    </row>
    <row r="354" spans="6:6" ht="13.5" x14ac:dyDescent="0.2">
      <c r="F354" s="3"/>
    </row>
    <row r="355" spans="6:6" ht="13.5" x14ac:dyDescent="0.2">
      <c r="F355" s="3"/>
    </row>
    <row r="356" spans="6:6" ht="13.5" x14ac:dyDescent="0.2">
      <c r="F356" s="3"/>
    </row>
    <row r="357" spans="6:6" ht="13.5" x14ac:dyDescent="0.2">
      <c r="F357" s="3"/>
    </row>
    <row r="358" spans="6:6" ht="13.5" x14ac:dyDescent="0.2">
      <c r="F358" s="3"/>
    </row>
    <row r="359" spans="6:6" ht="13.5" x14ac:dyDescent="0.2">
      <c r="F359" s="3"/>
    </row>
    <row r="360" spans="6:6" ht="13.5" x14ac:dyDescent="0.2">
      <c r="F360" s="3"/>
    </row>
    <row r="361" spans="6:6" ht="13.5" x14ac:dyDescent="0.2">
      <c r="F361" s="3"/>
    </row>
    <row r="362" spans="6:6" ht="13.5" x14ac:dyDescent="0.2">
      <c r="F362" s="3"/>
    </row>
    <row r="363" spans="6:6" ht="13.5" x14ac:dyDescent="0.2">
      <c r="F363" s="3"/>
    </row>
    <row r="364" spans="6:6" ht="13.5" x14ac:dyDescent="0.2">
      <c r="F364" s="3"/>
    </row>
    <row r="365" spans="6:6" ht="13.5" x14ac:dyDescent="0.2">
      <c r="F365" s="3"/>
    </row>
    <row r="366" spans="6:6" ht="13.5" x14ac:dyDescent="0.2">
      <c r="F366" s="3"/>
    </row>
    <row r="367" spans="6:6" ht="13.5" x14ac:dyDescent="0.2">
      <c r="F367" s="3"/>
    </row>
    <row r="368" spans="6:6" ht="13.5" x14ac:dyDescent="0.2">
      <c r="F368" s="3"/>
    </row>
    <row r="369" spans="6:6" ht="13.5" x14ac:dyDescent="0.2">
      <c r="F369" s="3"/>
    </row>
    <row r="370" spans="6:6" ht="13.5" x14ac:dyDescent="0.2">
      <c r="F370" s="3"/>
    </row>
    <row r="371" spans="6:6" ht="13.5" x14ac:dyDescent="0.2">
      <c r="F371" s="3"/>
    </row>
    <row r="372" spans="6:6" ht="13.5" x14ac:dyDescent="0.2">
      <c r="F372" s="3"/>
    </row>
    <row r="373" spans="6:6" ht="13.5" x14ac:dyDescent="0.2">
      <c r="F373" s="3"/>
    </row>
    <row r="374" spans="6:6" ht="13.5" x14ac:dyDescent="0.2">
      <c r="F374" s="3"/>
    </row>
    <row r="375" spans="6:6" ht="13.5" x14ac:dyDescent="0.2">
      <c r="F375" s="3"/>
    </row>
    <row r="376" spans="6:6" ht="13.5" x14ac:dyDescent="0.2">
      <c r="F376" s="3"/>
    </row>
    <row r="377" spans="6:6" ht="13.5" x14ac:dyDescent="0.2">
      <c r="F377" s="3"/>
    </row>
    <row r="378" spans="6:6" ht="13.5" x14ac:dyDescent="0.2">
      <c r="F378" s="3"/>
    </row>
    <row r="379" spans="6:6" ht="13.5" x14ac:dyDescent="0.2">
      <c r="F379" s="3"/>
    </row>
    <row r="380" spans="6:6" ht="13.5" x14ac:dyDescent="0.2">
      <c r="F380" s="3"/>
    </row>
    <row r="381" spans="6:6" ht="13.5" x14ac:dyDescent="0.2">
      <c r="F381" s="3"/>
    </row>
    <row r="382" spans="6:6" ht="13.5" x14ac:dyDescent="0.2">
      <c r="F382" s="3"/>
    </row>
    <row r="383" spans="6:6" ht="13.5" x14ac:dyDescent="0.2">
      <c r="F383" s="3"/>
    </row>
    <row r="384" spans="6:6" ht="13.5" x14ac:dyDescent="0.2">
      <c r="F384" s="3"/>
    </row>
    <row r="385" spans="6:6" ht="13.5" x14ac:dyDescent="0.2">
      <c r="F385" s="3"/>
    </row>
    <row r="386" spans="6:6" ht="13.5" x14ac:dyDescent="0.2">
      <c r="F386" s="3"/>
    </row>
    <row r="387" spans="6:6" ht="13.5" x14ac:dyDescent="0.2">
      <c r="F387" s="3"/>
    </row>
    <row r="388" spans="6:6" ht="13.5" x14ac:dyDescent="0.2">
      <c r="F388" s="3"/>
    </row>
    <row r="389" spans="6:6" ht="13.5" x14ac:dyDescent="0.2">
      <c r="F389" s="3"/>
    </row>
    <row r="390" spans="6:6" ht="13.5" x14ac:dyDescent="0.2">
      <c r="F390" s="3"/>
    </row>
    <row r="391" spans="6:6" ht="13.5" x14ac:dyDescent="0.2">
      <c r="F391" s="3"/>
    </row>
    <row r="392" spans="6:6" ht="13.5" x14ac:dyDescent="0.2">
      <c r="F392" s="3"/>
    </row>
    <row r="393" spans="6:6" ht="13.5" x14ac:dyDescent="0.2">
      <c r="F393" s="3"/>
    </row>
    <row r="394" spans="6:6" ht="13.5" x14ac:dyDescent="0.2">
      <c r="F394" s="3"/>
    </row>
    <row r="395" spans="6:6" ht="13.5" x14ac:dyDescent="0.2">
      <c r="F395" s="3"/>
    </row>
    <row r="396" spans="6:6" ht="13.5" x14ac:dyDescent="0.2">
      <c r="F396" s="3"/>
    </row>
    <row r="397" spans="6:6" ht="13.5" x14ac:dyDescent="0.2">
      <c r="F397" s="3"/>
    </row>
    <row r="398" spans="6:6" ht="13.5" x14ac:dyDescent="0.2">
      <c r="F398" s="3"/>
    </row>
    <row r="399" spans="6:6" ht="13.5" x14ac:dyDescent="0.2">
      <c r="F399" s="3"/>
    </row>
    <row r="400" spans="6:6" ht="13.5" x14ac:dyDescent="0.2">
      <c r="F400" s="3"/>
    </row>
    <row r="401" spans="6:6" ht="13.5" x14ac:dyDescent="0.2">
      <c r="F401" s="3"/>
    </row>
    <row r="402" spans="6:6" ht="13.5" x14ac:dyDescent="0.2">
      <c r="F402" s="3"/>
    </row>
    <row r="403" spans="6:6" ht="13.5" x14ac:dyDescent="0.2">
      <c r="F403" s="3"/>
    </row>
    <row r="404" spans="6:6" ht="13.5" x14ac:dyDescent="0.2">
      <c r="F404" s="3"/>
    </row>
    <row r="405" spans="6:6" ht="13.5" x14ac:dyDescent="0.2">
      <c r="F405" s="3"/>
    </row>
    <row r="406" spans="6:6" ht="13.5" x14ac:dyDescent="0.2">
      <c r="F406" s="3"/>
    </row>
    <row r="407" spans="6:6" ht="13.5" x14ac:dyDescent="0.2">
      <c r="F407" s="3"/>
    </row>
    <row r="408" spans="6:6" ht="13.5" x14ac:dyDescent="0.2">
      <c r="F408" s="3"/>
    </row>
    <row r="409" spans="6:6" ht="13.5" x14ac:dyDescent="0.2">
      <c r="F409" s="3"/>
    </row>
    <row r="410" spans="6:6" ht="13.5" x14ac:dyDescent="0.2">
      <c r="F410" s="3"/>
    </row>
    <row r="411" spans="6:6" ht="13.5" x14ac:dyDescent="0.2">
      <c r="F411" s="3"/>
    </row>
    <row r="412" spans="6:6" ht="13.5" x14ac:dyDescent="0.2">
      <c r="F412" s="3"/>
    </row>
    <row r="413" spans="6:6" ht="13.5" x14ac:dyDescent="0.2">
      <c r="F413" s="3"/>
    </row>
    <row r="414" spans="6:6" ht="13.5" x14ac:dyDescent="0.2">
      <c r="F414" s="3"/>
    </row>
    <row r="415" spans="6:6" ht="13.5" x14ac:dyDescent="0.2">
      <c r="F415" s="3"/>
    </row>
    <row r="416" spans="6:6" ht="13.5" x14ac:dyDescent="0.2">
      <c r="F416" s="3"/>
    </row>
    <row r="417" spans="6:6" ht="13.5" x14ac:dyDescent="0.2">
      <c r="F417" s="3"/>
    </row>
    <row r="418" spans="6:6" ht="13.5" x14ac:dyDescent="0.2">
      <c r="F418" s="3"/>
    </row>
    <row r="419" spans="6:6" ht="13.5" x14ac:dyDescent="0.2">
      <c r="F419" s="3"/>
    </row>
    <row r="420" spans="6:6" ht="13.5" x14ac:dyDescent="0.2">
      <c r="F420" s="3"/>
    </row>
    <row r="421" spans="6:6" ht="13.5" x14ac:dyDescent="0.2">
      <c r="F421" s="3"/>
    </row>
    <row r="422" spans="6:6" ht="13.5" x14ac:dyDescent="0.2">
      <c r="F422" s="3"/>
    </row>
    <row r="423" spans="6:6" ht="13.5" x14ac:dyDescent="0.2">
      <c r="F423" s="3"/>
    </row>
    <row r="424" spans="6:6" ht="13.5" x14ac:dyDescent="0.2">
      <c r="F424" s="3"/>
    </row>
    <row r="425" spans="6:6" ht="13.5" x14ac:dyDescent="0.2">
      <c r="F425" s="3"/>
    </row>
    <row r="426" spans="6:6" ht="13.5" x14ac:dyDescent="0.2">
      <c r="F426" s="3"/>
    </row>
    <row r="427" spans="6:6" ht="13.5" x14ac:dyDescent="0.2">
      <c r="F427" s="3"/>
    </row>
    <row r="428" spans="6:6" ht="13.5" x14ac:dyDescent="0.2">
      <c r="F428" s="3"/>
    </row>
    <row r="429" spans="6:6" ht="13.5" x14ac:dyDescent="0.2">
      <c r="F429" s="3"/>
    </row>
    <row r="430" spans="6:6" ht="13.5" x14ac:dyDescent="0.2">
      <c r="F430" s="3"/>
    </row>
    <row r="431" spans="6:6" ht="13.5" x14ac:dyDescent="0.2">
      <c r="F431" s="3"/>
    </row>
    <row r="432" spans="6:6" ht="13.5" x14ac:dyDescent="0.2">
      <c r="F432" s="3"/>
    </row>
    <row r="433" spans="6:6" ht="13.5" x14ac:dyDescent="0.2">
      <c r="F433" s="3"/>
    </row>
    <row r="434" spans="6:6" ht="13.5" x14ac:dyDescent="0.2">
      <c r="F434" s="3"/>
    </row>
    <row r="435" spans="6:6" ht="13.5" x14ac:dyDescent="0.2">
      <c r="F435" s="3"/>
    </row>
    <row r="436" spans="6:6" ht="13.5" x14ac:dyDescent="0.2">
      <c r="F436" s="3"/>
    </row>
    <row r="437" spans="6:6" ht="13.5" x14ac:dyDescent="0.2">
      <c r="F437" s="3"/>
    </row>
    <row r="438" spans="6:6" ht="13.5" x14ac:dyDescent="0.2">
      <c r="F438" s="3"/>
    </row>
    <row r="439" spans="6:6" ht="13.5" x14ac:dyDescent="0.2">
      <c r="F439" s="3"/>
    </row>
    <row r="440" spans="6:6" ht="13.5" x14ac:dyDescent="0.2">
      <c r="F440" s="3"/>
    </row>
    <row r="441" spans="6:6" ht="13.5" x14ac:dyDescent="0.2">
      <c r="F441" s="3"/>
    </row>
    <row r="442" spans="6:6" ht="13.5" x14ac:dyDescent="0.2">
      <c r="F442" s="3"/>
    </row>
    <row r="443" spans="6:6" ht="13.5" x14ac:dyDescent="0.2">
      <c r="F443" s="3"/>
    </row>
    <row r="444" spans="6:6" ht="13.5" x14ac:dyDescent="0.2">
      <c r="F444" s="3"/>
    </row>
    <row r="445" spans="6:6" ht="13.5" x14ac:dyDescent="0.2">
      <c r="F445" s="3"/>
    </row>
    <row r="446" spans="6:6" ht="13.5" x14ac:dyDescent="0.2">
      <c r="F446" s="3"/>
    </row>
    <row r="447" spans="6:6" ht="13.5" x14ac:dyDescent="0.2">
      <c r="F447" s="3"/>
    </row>
    <row r="448" spans="6:6" ht="13.5" x14ac:dyDescent="0.2">
      <c r="F448" s="3"/>
    </row>
    <row r="449" spans="6:6" ht="13.5" x14ac:dyDescent="0.2">
      <c r="F449" s="3"/>
    </row>
    <row r="450" spans="6:6" ht="13.5" x14ac:dyDescent="0.2">
      <c r="F450" s="3"/>
    </row>
    <row r="451" spans="6:6" ht="13.5" x14ac:dyDescent="0.2">
      <c r="F451" s="3"/>
    </row>
    <row r="452" spans="6:6" ht="13.5" x14ac:dyDescent="0.2">
      <c r="F452" s="3"/>
    </row>
    <row r="453" spans="6:6" ht="13.5" x14ac:dyDescent="0.2">
      <c r="F453" s="3"/>
    </row>
    <row r="454" spans="6:6" ht="13.5" x14ac:dyDescent="0.2">
      <c r="F454" s="3"/>
    </row>
    <row r="455" spans="6:6" ht="13.5" x14ac:dyDescent="0.2">
      <c r="F455" s="3"/>
    </row>
    <row r="456" spans="6:6" ht="13.5" x14ac:dyDescent="0.2">
      <c r="F456" s="3"/>
    </row>
    <row r="457" spans="6:6" ht="13.5" x14ac:dyDescent="0.2">
      <c r="F457" s="3"/>
    </row>
    <row r="458" spans="6:6" ht="13.5" x14ac:dyDescent="0.2">
      <c r="F458" s="3"/>
    </row>
    <row r="459" spans="6:6" ht="13.5" x14ac:dyDescent="0.2">
      <c r="F459" s="3"/>
    </row>
    <row r="460" spans="6:6" ht="13.5" x14ac:dyDescent="0.2">
      <c r="F460" s="3"/>
    </row>
    <row r="461" spans="6:6" ht="13.5" x14ac:dyDescent="0.2">
      <c r="F461" s="3"/>
    </row>
    <row r="462" spans="6:6" ht="13.5" x14ac:dyDescent="0.2">
      <c r="F462" s="3"/>
    </row>
    <row r="463" spans="6:6" ht="13.5" x14ac:dyDescent="0.2">
      <c r="F463" s="3"/>
    </row>
    <row r="464" spans="6:6" ht="13.5" x14ac:dyDescent="0.2">
      <c r="F464" s="3"/>
    </row>
    <row r="465" spans="6:6" ht="13.5" x14ac:dyDescent="0.2">
      <c r="F465" s="3"/>
    </row>
    <row r="466" spans="6:6" ht="13.5" x14ac:dyDescent="0.2">
      <c r="F466" s="3"/>
    </row>
    <row r="467" spans="6:6" ht="13.5" x14ac:dyDescent="0.2">
      <c r="F467" s="3"/>
    </row>
    <row r="468" spans="6:6" ht="13.5" x14ac:dyDescent="0.2">
      <c r="F468" s="3"/>
    </row>
    <row r="469" spans="6:6" ht="13.5" x14ac:dyDescent="0.2">
      <c r="F469" s="3"/>
    </row>
    <row r="470" spans="6:6" ht="13.5" x14ac:dyDescent="0.2">
      <c r="F470" s="3"/>
    </row>
    <row r="471" spans="6:6" ht="13.5" x14ac:dyDescent="0.2">
      <c r="F471" s="3"/>
    </row>
    <row r="472" spans="6:6" ht="13.5" x14ac:dyDescent="0.2">
      <c r="F472" s="3"/>
    </row>
    <row r="473" spans="6:6" ht="13.5" x14ac:dyDescent="0.2">
      <c r="F473" s="3"/>
    </row>
    <row r="474" spans="6:6" ht="13.5" x14ac:dyDescent="0.2">
      <c r="F474" s="3"/>
    </row>
    <row r="475" spans="6:6" ht="13.5" x14ac:dyDescent="0.2">
      <c r="F475" s="3"/>
    </row>
    <row r="476" spans="6:6" ht="13.5" x14ac:dyDescent="0.2">
      <c r="F476" s="3"/>
    </row>
    <row r="477" spans="6:6" ht="13.5" x14ac:dyDescent="0.2">
      <c r="F477" s="3"/>
    </row>
    <row r="478" spans="6:6" ht="13.5" x14ac:dyDescent="0.2">
      <c r="F478" s="3"/>
    </row>
    <row r="479" spans="6:6" ht="13.5" x14ac:dyDescent="0.2">
      <c r="F479" s="3"/>
    </row>
    <row r="480" spans="6:6" ht="13.5" x14ac:dyDescent="0.2">
      <c r="F480" s="3"/>
    </row>
    <row r="481" spans="6:6" ht="13.5" x14ac:dyDescent="0.2">
      <c r="F481" s="3"/>
    </row>
    <row r="482" spans="6:6" ht="13.5" x14ac:dyDescent="0.2">
      <c r="F482" s="3"/>
    </row>
    <row r="483" spans="6:6" ht="13.5" x14ac:dyDescent="0.2">
      <c r="F483" s="3"/>
    </row>
    <row r="484" spans="6:6" ht="13.5" x14ac:dyDescent="0.2">
      <c r="F484" s="3"/>
    </row>
    <row r="485" spans="6:6" ht="13.5" x14ac:dyDescent="0.2">
      <c r="F485" s="3"/>
    </row>
    <row r="486" spans="6:6" ht="13.5" x14ac:dyDescent="0.2">
      <c r="F486" s="3"/>
    </row>
    <row r="487" spans="6:6" ht="13.5" x14ac:dyDescent="0.2">
      <c r="F487" s="3"/>
    </row>
    <row r="488" spans="6:6" ht="13.5" x14ac:dyDescent="0.2">
      <c r="F488" s="3"/>
    </row>
    <row r="489" spans="6:6" ht="13.5" x14ac:dyDescent="0.2">
      <c r="F489" s="3"/>
    </row>
    <row r="490" spans="6:6" ht="13.5" x14ac:dyDescent="0.2">
      <c r="F490" s="3"/>
    </row>
    <row r="491" spans="6:6" ht="13.5" x14ac:dyDescent="0.2">
      <c r="F491" s="3"/>
    </row>
    <row r="492" spans="6:6" ht="13.5" x14ac:dyDescent="0.2">
      <c r="F492" s="3"/>
    </row>
    <row r="493" spans="6:6" ht="13.5" x14ac:dyDescent="0.2">
      <c r="F493" s="3"/>
    </row>
    <row r="494" spans="6:6" ht="13.5" x14ac:dyDescent="0.2">
      <c r="F494" s="3"/>
    </row>
    <row r="495" spans="6:6" ht="13.5" x14ac:dyDescent="0.2">
      <c r="F495" s="3"/>
    </row>
    <row r="496" spans="6:6" ht="13.5" x14ac:dyDescent="0.2">
      <c r="F496" s="3"/>
    </row>
    <row r="497" spans="6:6" ht="13.5" x14ac:dyDescent="0.2">
      <c r="F497" s="3"/>
    </row>
    <row r="498" spans="6:6" ht="13.5" x14ac:dyDescent="0.2">
      <c r="F498" s="3"/>
    </row>
    <row r="499" spans="6:6" ht="13.5" x14ac:dyDescent="0.2">
      <c r="F499" s="3"/>
    </row>
    <row r="500" spans="6:6" ht="13.5" x14ac:dyDescent="0.2">
      <c r="F500" s="3"/>
    </row>
    <row r="501" spans="6:6" ht="13.5" x14ac:dyDescent="0.2">
      <c r="F501" s="3"/>
    </row>
    <row r="502" spans="6:6" ht="13.5" x14ac:dyDescent="0.2">
      <c r="F502" s="3"/>
    </row>
    <row r="503" spans="6:6" ht="13.5" x14ac:dyDescent="0.2">
      <c r="F503" s="3"/>
    </row>
    <row r="504" spans="6:6" ht="13.5" x14ac:dyDescent="0.2">
      <c r="F504" s="3"/>
    </row>
    <row r="505" spans="6:6" ht="13.5" x14ac:dyDescent="0.2">
      <c r="F505" s="3"/>
    </row>
    <row r="506" spans="6:6" ht="13.5" x14ac:dyDescent="0.2">
      <c r="F506" s="3"/>
    </row>
    <row r="507" spans="6:6" ht="13.5" x14ac:dyDescent="0.2">
      <c r="F507" s="3"/>
    </row>
    <row r="508" spans="6:6" ht="13.5" x14ac:dyDescent="0.2">
      <c r="F508" s="3"/>
    </row>
    <row r="509" spans="6:6" ht="13.5" x14ac:dyDescent="0.2">
      <c r="F509" s="3"/>
    </row>
    <row r="510" spans="6:6" ht="13.5" x14ac:dyDescent="0.2">
      <c r="F510" s="3"/>
    </row>
    <row r="511" spans="6:6" ht="13.5" x14ac:dyDescent="0.2">
      <c r="F511" s="3"/>
    </row>
    <row r="512" spans="6:6" ht="13.5" x14ac:dyDescent="0.2">
      <c r="F512" s="3"/>
    </row>
    <row r="513" spans="6:6" ht="13.5" x14ac:dyDescent="0.2">
      <c r="F513" s="3"/>
    </row>
    <row r="514" spans="6:6" ht="13.5" x14ac:dyDescent="0.2">
      <c r="F514" s="3"/>
    </row>
    <row r="515" spans="6:6" ht="13.5" x14ac:dyDescent="0.2">
      <c r="F515" s="3"/>
    </row>
    <row r="516" spans="6:6" ht="13.5" x14ac:dyDescent="0.2">
      <c r="F516" s="3"/>
    </row>
    <row r="517" spans="6:6" ht="13.5" x14ac:dyDescent="0.2">
      <c r="F517" s="3"/>
    </row>
    <row r="518" spans="6:6" ht="13.5" x14ac:dyDescent="0.2">
      <c r="F518" s="3"/>
    </row>
    <row r="519" spans="6:6" ht="13.5" x14ac:dyDescent="0.2">
      <c r="F519" s="3"/>
    </row>
    <row r="520" spans="6:6" ht="13.5" x14ac:dyDescent="0.2">
      <c r="F520" s="3"/>
    </row>
    <row r="521" spans="6:6" ht="13.5" x14ac:dyDescent="0.2">
      <c r="F521" s="3"/>
    </row>
    <row r="522" spans="6:6" ht="13.5" x14ac:dyDescent="0.2">
      <c r="F522" s="3"/>
    </row>
    <row r="523" spans="6:6" ht="13.5" x14ac:dyDescent="0.2">
      <c r="F523" s="3"/>
    </row>
    <row r="524" spans="6:6" ht="13.5" x14ac:dyDescent="0.2">
      <c r="F524" s="3"/>
    </row>
    <row r="525" spans="6:6" ht="13.5" x14ac:dyDescent="0.2">
      <c r="F525" s="3"/>
    </row>
    <row r="526" spans="6:6" ht="13.5" x14ac:dyDescent="0.2">
      <c r="F526" s="3"/>
    </row>
    <row r="527" spans="6:6" ht="13.5" x14ac:dyDescent="0.2">
      <c r="F527" s="3"/>
    </row>
    <row r="528" spans="6:6" ht="13.5" x14ac:dyDescent="0.2">
      <c r="F528" s="3"/>
    </row>
    <row r="529" spans="6:6" ht="13.5" x14ac:dyDescent="0.2">
      <c r="F529" s="3"/>
    </row>
    <row r="530" spans="6:6" ht="13.5" x14ac:dyDescent="0.2">
      <c r="F530" s="3"/>
    </row>
    <row r="531" spans="6:6" ht="13.5" x14ac:dyDescent="0.2">
      <c r="F531" s="3"/>
    </row>
    <row r="532" spans="6:6" ht="13.5" x14ac:dyDescent="0.2">
      <c r="F532" s="3"/>
    </row>
    <row r="533" spans="6:6" ht="13.5" x14ac:dyDescent="0.2">
      <c r="F533" s="3"/>
    </row>
    <row r="534" spans="6:6" ht="13.5" x14ac:dyDescent="0.2">
      <c r="F534" s="3"/>
    </row>
    <row r="535" spans="6:6" ht="13.5" x14ac:dyDescent="0.2">
      <c r="F535" s="3"/>
    </row>
    <row r="536" spans="6:6" ht="13.5" x14ac:dyDescent="0.2">
      <c r="F536" s="3"/>
    </row>
    <row r="537" spans="6:6" ht="13.5" x14ac:dyDescent="0.2">
      <c r="F537" s="3"/>
    </row>
    <row r="538" spans="6:6" ht="13.5" x14ac:dyDescent="0.2">
      <c r="F538" s="3"/>
    </row>
    <row r="539" spans="6:6" ht="13.5" x14ac:dyDescent="0.2">
      <c r="F539" s="3"/>
    </row>
    <row r="540" spans="6:6" ht="13.5" x14ac:dyDescent="0.2">
      <c r="F540" s="3"/>
    </row>
    <row r="541" spans="6:6" ht="13.5" x14ac:dyDescent="0.2">
      <c r="F541" s="3"/>
    </row>
    <row r="542" spans="6:6" ht="13.5" x14ac:dyDescent="0.2">
      <c r="F542" s="3"/>
    </row>
    <row r="543" spans="6:6" ht="13.5" x14ac:dyDescent="0.2">
      <c r="F543" s="3"/>
    </row>
    <row r="544" spans="6:6" ht="13.5" x14ac:dyDescent="0.2">
      <c r="F544" s="3"/>
    </row>
    <row r="545" spans="6:6" ht="13.5" x14ac:dyDescent="0.2">
      <c r="F545" s="3"/>
    </row>
    <row r="546" spans="6:6" ht="13.5" x14ac:dyDescent="0.2">
      <c r="F546" s="3"/>
    </row>
    <row r="547" spans="6:6" ht="13.5" x14ac:dyDescent="0.2">
      <c r="F547" s="3"/>
    </row>
    <row r="548" spans="6:6" ht="13.5" x14ac:dyDescent="0.2">
      <c r="F548" s="3"/>
    </row>
    <row r="549" spans="6:6" ht="13.5" x14ac:dyDescent="0.2">
      <c r="F549" s="3"/>
    </row>
    <row r="550" spans="6:6" ht="13.5" x14ac:dyDescent="0.2">
      <c r="F550" s="3"/>
    </row>
    <row r="551" spans="6:6" ht="13.5" x14ac:dyDescent="0.2">
      <c r="F551" s="3"/>
    </row>
    <row r="552" spans="6:6" ht="13.5" x14ac:dyDescent="0.2">
      <c r="F552" s="3"/>
    </row>
    <row r="553" spans="6:6" ht="13.5" x14ac:dyDescent="0.2">
      <c r="F553" s="3"/>
    </row>
    <row r="554" spans="6:6" ht="13.5" x14ac:dyDescent="0.2">
      <c r="F554" s="3"/>
    </row>
    <row r="555" spans="6:6" ht="13.5" x14ac:dyDescent="0.2">
      <c r="F555" s="3"/>
    </row>
    <row r="556" spans="6:6" ht="13.5" x14ac:dyDescent="0.2">
      <c r="F556" s="3"/>
    </row>
    <row r="557" spans="6:6" ht="13.5" x14ac:dyDescent="0.2">
      <c r="F557" s="3"/>
    </row>
    <row r="558" spans="6:6" ht="13.5" x14ac:dyDescent="0.2">
      <c r="F558" s="3"/>
    </row>
    <row r="559" spans="6:6" ht="13.5" x14ac:dyDescent="0.2">
      <c r="F559" s="3"/>
    </row>
    <row r="560" spans="6:6" ht="13.5" x14ac:dyDescent="0.2">
      <c r="F560" s="3"/>
    </row>
    <row r="561" spans="6:6" ht="13.5" x14ac:dyDescent="0.2">
      <c r="F561" s="3"/>
    </row>
    <row r="562" spans="6:6" ht="13.5" x14ac:dyDescent="0.2">
      <c r="F562" s="3"/>
    </row>
    <row r="563" spans="6:6" ht="13.5" x14ac:dyDescent="0.2">
      <c r="F563" s="3"/>
    </row>
    <row r="564" spans="6:6" ht="13.5" x14ac:dyDescent="0.2">
      <c r="F564" s="3"/>
    </row>
    <row r="565" spans="6:6" ht="13.5" x14ac:dyDescent="0.2">
      <c r="F565" s="3"/>
    </row>
    <row r="566" spans="6:6" ht="13.5" x14ac:dyDescent="0.2">
      <c r="F566" s="3"/>
    </row>
    <row r="567" spans="6:6" ht="13.5" x14ac:dyDescent="0.2">
      <c r="F567" s="3"/>
    </row>
    <row r="568" spans="6:6" ht="13.5" x14ac:dyDescent="0.2">
      <c r="F568" s="3"/>
    </row>
    <row r="569" spans="6:6" ht="13.5" x14ac:dyDescent="0.2">
      <c r="F569" s="3"/>
    </row>
    <row r="570" spans="6:6" ht="13.5" x14ac:dyDescent="0.2">
      <c r="F570" s="3"/>
    </row>
    <row r="571" spans="6:6" ht="13.5" x14ac:dyDescent="0.2">
      <c r="F571" s="3"/>
    </row>
    <row r="572" spans="6:6" ht="13.5" x14ac:dyDescent="0.2">
      <c r="F572" s="3"/>
    </row>
    <row r="573" spans="6:6" ht="13.5" x14ac:dyDescent="0.2">
      <c r="F573" s="3"/>
    </row>
    <row r="574" spans="6:6" ht="13.5" x14ac:dyDescent="0.2">
      <c r="F574" s="3"/>
    </row>
    <row r="575" spans="6:6" ht="13.5" x14ac:dyDescent="0.2">
      <c r="F575" s="3"/>
    </row>
    <row r="576" spans="6:6" ht="13.5" x14ac:dyDescent="0.2">
      <c r="F576" s="3"/>
    </row>
    <row r="577" spans="6:6" ht="13.5" x14ac:dyDescent="0.2">
      <c r="F577" s="3"/>
    </row>
    <row r="578" spans="6:6" ht="13.5" x14ac:dyDescent="0.2">
      <c r="F578" s="3"/>
    </row>
    <row r="579" spans="6:6" ht="13.5" x14ac:dyDescent="0.2">
      <c r="F579" s="3"/>
    </row>
    <row r="580" spans="6:6" ht="13.5" x14ac:dyDescent="0.2">
      <c r="F580" s="3"/>
    </row>
    <row r="581" spans="6:6" ht="13.5" x14ac:dyDescent="0.2">
      <c r="F581" s="3"/>
    </row>
    <row r="582" spans="6:6" ht="13.5" x14ac:dyDescent="0.2">
      <c r="F582" s="3"/>
    </row>
    <row r="583" spans="6:6" ht="13.5" x14ac:dyDescent="0.2">
      <c r="F583" s="3"/>
    </row>
    <row r="584" spans="6:6" ht="13.5" x14ac:dyDescent="0.2">
      <c r="F584" s="3"/>
    </row>
    <row r="585" spans="6:6" ht="13.5" x14ac:dyDescent="0.2">
      <c r="F585" s="3"/>
    </row>
    <row r="586" spans="6:6" ht="13.5" x14ac:dyDescent="0.2">
      <c r="F586" s="3"/>
    </row>
    <row r="587" spans="6:6" ht="13.5" x14ac:dyDescent="0.2">
      <c r="F587" s="3"/>
    </row>
    <row r="588" spans="6:6" ht="13.5" x14ac:dyDescent="0.2">
      <c r="F588" s="3"/>
    </row>
    <row r="589" spans="6:6" ht="13.5" x14ac:dyDescent="0.2">
      <c r="F589" s="3"/>
    </row>
    <row r="590" spans="6:6" ht="13.5" x14ac:dyDescent="0.2">
      <c r="F590" s="3"/>
    </row>
    <row r="591" spans="6:6" ht="13.5" x14ac:dyDescent="0.2">
      <c r="F591" s="3"/>
    </row>
    <row r="592" spans="6:6" ht="13.5" x14ac:dyDescent="0.2">
      <c r="F592" s="3"/>
    </row>
    <row r="593" spans="6:6" ht="13.5" x14ac:dyDescent="0.2">
      <c r="F593" s="3"/>
    </row>
    <row r="594" spans="6:6" ht="13.5" x14ac:dyDescent="0.2">
      <c r="F594" s="3"/>
    </row>
    <row r="595" spans="6:6" ht="13.5" x14ac:dyDescent="0.2">
      <c r="F595" s="3"/>
    </row>
    <row r="596" spans="6:6" ht="13.5" x14ac:dyDescent="0.2">
      <c r="F596" s="3"/>
    </row>
    <row r="597" spans="6:6" ht="13.5" x14ac:dyDescent="0.2">
      <c r="F597" s="3"/>
    </row>
    <row r="598" spans="6:6" ht="13.5" x14ac:dyDescent="0.2">
      <c r="F598" s="3"/>
    </row>
    <row r="599" spans="6:6" ht="13.5" x14ac:dyDescent="0.2">
      <c r="F599" s="3"/>
    </row>
    <row r="600" spans="6:6" ht="13.5" x14ac:dyDescent="0.2">
      <c r="F600" s="3"/>
    </row>
    <row r="601" spans="6:6" ht="13.5" x14ac:dyDescent="0.2">
      <c r="F601" s="3"/>
    </row>
    <row r="602" spans="6:6" ht="13.5" x14ac:dyDescent="0.2">
      <c r="F602" s="3"/>
    </row>
    <row r="603" spans="6:6" ht="13.5" x14ac:dyDescent="0.2">
      <c r="F603" s="3"/>
    </row>
    <row r="604" spans="6:6" ht="13.5" x14ac:dyDescent="0.2">
      <c r="F604" s="3"/>
    </row>
    <row r="605" spans="6:6" ht="13.5" x14ac:dyDescent="0.2">
      <c r="F605" s="3"/>
    </row>
    <row r="606" spans="6:6" ht="13.5" x14ac:dyDescent="0.2">
      <c r="F606" s="3"/>
    </row>
    <row r="607" spans="6:6" ht="13.5" x14ac:dyDescent="0.2">
      <c r="F607" s="3"/>
    </row>
    <row r="608" spans="6:6" ht="13.5" x14ac:dyDescent="0.2">
      <c r="F608" s="3"/>
    </row>
    <row r="609" spans="6:6" ht="13.5" x14ac:dyDescent="0.2">
      <c r="F609" s="3"/>
    </row>
    <row r="610" spans="6:6" ht="13.5" x14ac:dyDescent="0.2">
      <c r="F610" s="3"/>
    </row>
    <row r="611" spans="6:6" ht="13.5" x14ac:dyDescent="0.2">
      <c r="F611" s="3"/>
    </row>
    <row r="612" spans="6:6" ht="13.5" x14ac:dyDescent="0.2">
      <c r="F612" s="3"/>
    </row>
    <row r="613" spans="6:6" ht="13.5" x14ac:dyDescent="0.2">
      <c r="F613" s="3"/>
    </row>
    <row r="614" spans="6:6" ht="13.5" x14ac:dyDescent="0.2">
      <c r="F614" s="3"/>
    </row>
    <row r="615" spans="6:6" ht="13.5" x14ac:dyDescent="0.2">
      <c r="F615" s="3"/>
    </row>
    <row r="616" spans="6:6" ht="13.5" x14ac:dyDescent="0.2">
      <c r="F616" s="3"/>
    </row>
    <row r="617" spans="6:6" ht="13.5" x14ac:dyDescent="0.2">
      <c r="F617" s="3"/>
    </row>
    <row r="618" spans="6:6" ht="13.5" x14ac:dyDescent="0.2">
      <c r="F618" s="3"/>
    </row>
    <row r="619" spans="6:6" ht="13.5" x14ac:dyDescent="0.2">
      <c r="F619" s="3"/>
    </row>
    <row r="620" spans="6:6" ht="13.5" x14ac:dyDescent="0.2">
      <c r="F620" s="3"/>
    </row>
    <row r="621" spans="6:6" ht="13.5" x14ac:dyDescent="0.2">
      <c r="F621" s="3"/>
    </row>
    <row r="622" spans="6:6" ht="13.5" x14ac:dyDescent="0.2">
      <c r="F622" s="3"/>
    </row>
    <row r="623" spans="6:6" ht="13.5" x14ac:dyDescent="0.2">
      <c r="F623" s="3"/>
    </row>
    <row r="624" spans="6:6" ht="13.5" x14ac:dyDescent="0.2">
      <c r="F624" s="3"/>
    </row>
    <row r="625" spans="6:6" ht="13.5" x14ac:dyDescent="0.2">
      <c r="F625" s="3"/>
    </row>
    <row r="626" spans="6:6" ht="13.5" x14ac:dyDescent="0.2">
      <c r="F626" s="3"/>
    </row>
    <row r="627" spans="6:6" ht="13.5" x14ac:dyDescent="0.2">
      <c r="F627" s="3"/>
    </row>
    <row r="628" spans="6:6" ht="13.5" x14ac:dyDescent="0.2">
      <c r="F628" s="3"/>
    </row>
    <row r="629" spans="6:6" ht="13.5" x14ac:dyDescent="0.2">
      <c r="F629" s="3"/>
    </row>
    <row r="630" spans="6:6" ht="13.5" x14ac:dyDescent="0.2">
      <c r="F630" s="3"/>
    </row>
    <row r="631" spans="6:6" ht="13.5" x14ac:dyDescent="0.2">
      <c r="F631" s="3"/>
    </row>
    <row r="632" spans="6:6" ht="13.5" x14ac:dyDescent="0.2">
      <c r="F632" s="3"/>
    </row>
    <row r="633" spans="6:6" ht="13.5" x14ac:dyDescent="0.2">
      <c r="F633" s="3"/>
    </row>
    <row r="634" spans="6:6" ht="13.5" x14ac:dyDescent="0.2">
      <c r="F634" s="3"/>
    </row>
    <row r="635" spans="6:6" ht="13.5" x14ac:dyDescent="0.2">
      <c r="F635" s="3"/>
    </row>
    <row r="636" spans="6:6" ht="13.5" x14ac:dyDescent="0.2">
      <c r="F636" s="3"/>
    </row>
    <row r="637" spans="6:6" ht="13.5" x14ac:dyDescent="0.2">
      <c r="F637" s="3"/>
    </row>
    <row r="638" spans="6:6" ht="13.5" x14ac:dyDescent="0.2">
      <c r="F638" s="3"/>
    </row>
    <row r="639" spans="6:6" ht="13.5" x14ac:dyDescent="0.2">
      <c r="F639" s="3"/>
    </row>
    <row r="640" spans="6:6" ht="13.5" x14ac:dyDescent="0.2">
      <c r="F640" s="3"/>
    </row>
    <row r="641" spans="6:6" ht="13.5" x14ac:dyDescent="0.2">
      <c r="F641" s="3"/>
    </row>
    <row r="642" spans="6:6" ht="13.5" x14ac:dyDescent="0.2">
      <c r="F642" s="3"/>
    </row>
    <row r="643" spans="6:6" ht="13.5" x14ac:dyDescent="0.2">
      <c r="F643" s="3"/>
    </row>
    <row r="644" spans="6:6" ht="13.5" x14ac:dyDescent="0.2">
      <c r="F644" s="3"/>
    </row>
    <row r="645" spans="6:6" ht="13.5" x14ac:dyDescent="0.2">
      <c r="F645" s="3"/>
    </row>
    <row r="646" spans="6:6" ht="13.5" x14ac:dyDescent="0.2">
      <c r="F646" s="3"/>
    </row>
    <row r="647" spans="6:6" ht="13.5" x14ac:dyDescent="0.2">
      <c r="F647" s="3"/>
    </row>
    <row r="648" spans="6:6" ht="13.5" x14ac:dyDescent="0.2">
      <c r="F648" s="3"/>
    </row>
    <row r="649" spans="6:6" ht="13.5" x14ac:dyDescent="0.2">
      <c r="F649" s="3"/>
    </row>
    <row r="650" spans="6:6" ht="13.5" x14ac:dyDescent="0.2">
      <c r="F650" s="3"/>
    </row>
    <row r="651" spans="6:6" ht="13.5" x14ac:dyDescent="0.2">
      <c r="F651" s="3"/>
    </row>
    <row r="652" spans="6:6" ht="13.5" x14ac:dyDescent="0.2">
      <c r="F652" s="3"/>
    </row>
    <row r="653" spans="6:6" ht="13.5" x14ac:dyDescent="0.2">
      <c r="F653" s="3"/>
    </row>
    <row r="654" spans="6:6" ht="13.5" x14ac:dyDescent="0.2">
      <c r="F654" s="3"/>
    </row>
    <row r="655" spans="6:6" ht="13.5" x14ac:dyDescent="0.2">
      <c r="F655" s="3"/>
    </row>
    <row r="656" spans="6:6" ht="13.5" x14ac:dyDescent="0.2">
      <c r="F656" s="3"/>
    </row>
    <row r="657" spans="6:6" ht="13.5" x14ac:dyDescent="0.2">
      <c r="F657" s="3"/>
    </row>
    <row r="658" spans="6:6" ht="13.5" x14ac:dyDescent="0.2">
      <c r="F658" s="3"/>
    </row>
    <row r="659" spans="6:6" ht="13.5" x14ac:dyDescent="0.2">
      <c r="F659" s="3"/>
    </row>
    <row r="660" spans="6:6" ht="13.5" x14ac:dyDescent="0.2">
      <c r="F660" s="3"/>
    </row>
    <row r="661" spans="6:6" ht="13.5" x14ac:dyDescent="0.2">
      <c r="F661" s="3"/>
    </row>
    <row r="662" spans="6:6" ht="13.5" x14ac:dyDescent="0.2">
      <c r="F662" s="3"/>
    </row>
    <row r="663" spans="6:6" ht="13.5" x14ac:dyDescent="0.2">
      <c r="F663" s="3"/>
    </row>
    <row r="664" spans="6:6" ht="13.5" x14ac:dyDescent="0.2">
      <c r="F664" s="3"/>
    </row>
    <row r="665" spans="6:6" ht="13.5" x14ac:dyDescent="0.2">
      <c r="F665" s="3"/>
    </row>
    <row r="666" spans="6:6" ht="13.5" x14ac:dyDescent="0.2">
      <c r="F666" s="3"/>
    </row>
    <row r="667" spans="6:6" ht="13.5" x14ac:dyDescent="0.2">
      <c r="F667" s="3"/>
    </row>
    <row r="668" spans="6:6" ht="13.5" x14ac:dyDescent="0.2">
      <c r="F668" s="3"/>
    </row>
    <row r="669" spans="6:6" ht="13.5" x14ac:dyDescent="0.2">
      <c r="F669" s="3"/>
    </row>
    <row r="670" spans="6:6" ht="13.5" x14ac:dyDescent="0.2">
      <c r="F670" s="3"/>
    </row>
    <row r="671" spans="6:6" ht="13.5" x14ac:dyDescent="0.2">
      <c r="F671" s="3"/>
    </row>
    <row r="672" spans="6:6" ht="13.5" x14ac:dyDescent="0.2">
      <c r="F672" s="3"/>
    </row>
    <row r="673" spans="6:6" ht="13.5" x14ac:dyDescent="0.2">
      <c r="F673" s="3"/>
    </row>
    <row r="674" spans="6:6" ht="13.5" x14ac:dyDescent="0.2">
      <c r="F674" s="3"/>
    </row>
    <row r="675" spans="6:6" ht="13.5" x14ac:dyDescent="0.2">
      <c r="F675" s="3"/>
    </row>
    <row r="676" spans="6:6" ht="13.5" x14ac:dyDescent="0.2">
      <c r="F676" s="3"/>
    </row>
    <row r="677" spans="6:6" ht="13.5" x14ac:dyDescent="0.2">
      <c r="F677" s="3"/>
    </row>
    <row r="678" spans="6:6" ht="13.5" x14ac:dyDescent="0.2">
      <c r="F678" s="3"/>
    </row>
    <row r="679" spans="6:6" ht="13.5" x14ac:dyDescent="0.2">
      <c r="F679" s="3"/>
    </row>
    <row r="680" spans="6:6" ht="13.5" x14ac:dyDescent="0.2">
      <c r="F680" s="3"/>
    </row>
    <row r="681" spans="6:6" ht="13.5" x14ac:dyDescent="0.2">
      <c r="F681" s="3"/>
    </row>
    <row r="682" spans="6:6" ht="13.5" x14ac:dyDescent="0.2">
      <c r="F682" s="3"/>
    </row>
    <row r="683" spans="6:6" ht="13.5" x14ac:dyDescent="0.2">
      <c r="F683" s="3"/>
    </row>
    <row r="684" spans="6:6" ht="13.5" x14ac:dyDescent="0.2">
      <c r="F684" s="3"/>
    </row>
    <row r="685" spans="6:6" ht="13.5" x14ac:dyDescent="0.2">
      <c r="F685" s="3"/>
    </row>
    <row r="686" spans="6:6" ht="13.5" x14ac:dyDescent="0.2">
      <c r="F686" s="3"/>
    </row>
    <row r="687" spans="6:6" ht="13.5" x14ac:dyDescent="0.2">
      <c r="F687" s="3"/>
    </row>
    <row r="688" spans="6:6" ht="13.5" x14ac:dyDescent="0.2">
      <c r="F688" s="3"/>
    </row>
    <row r="689" spans="6:6" ht="13.5" x14ac:dyDescent="0.2">
      <c r="F689" s="3"/>
    </row>
    <row r="690" spans="6:6" ht="13.5" x14ac:dyDescent="0.2">
      <c r="F690" s="3"/>
    </row>
    <row r="691" spans="6:6" ht="13.5" x14ac:dyDescent="0.2">
      <c r="F691" s="3"/>
    </row>
    <row r="692" spans="6:6" ht="13.5" x14ac:dyDescent="0.2">
      <c r="F692" s="3"/>
    </row>
    <row r="693" spans="6:6" ht="13.5" x14ac:dyDescent="0.2">
      <c r="F693" s="3"/>
    </row>
    <row r="694" spans="6:6" ht="13.5" x14ac:dyDescent="0.2">
      <c r="F694" s="3"/>
    </row>
    <row r="695" spans="6:6" ht="13.5" x14ac:dyDescent="0.2">
      <c r="F695" s="3"/>
    </row>
    <row r="696" spans="6:6" ht="13.5" x14ac:dyDescent="0.2">
      <c r="F696" s="3"/>
    </row>
    <row r="697" spans="6:6" ht="13.5" x14ac:dyDescent="0.2">
      <c r="F697" s="3"/>
    </row>
    <row r="698" spans="6:6" ht="13.5" x14ac:dyDescent="0.2">
      <c r="F698" s="3"/>
    </row>
    <row r="699" spans="6:6" ht="13.5" x14ac:dyDescent="0.2">
      <c r="F699" s="3"/>
    </row>
    <row r="700" spans="6:6" ht="13.5" x14ac:dyDescent="0.2">
      <c r="F700" s="3"/>
    </row>
    <row r="701" spans="6:6" ht="13.5" x14ac:dyDescent="0.2">
      <c r="F701" s="3"/>
    </row>
    <row r="702" spans="6:6" ht="13.5" x14ac:dyDescent="0.2">
      <c r="F702" s="3"/>
    </row>
    <row r="703" spans="6:6" ht="13.5" x14ac:dyDescent="0.2">
      <c r="F703" s="3"/>
    </row>
    <row r="704" spans="6:6" ht="13.5" x14ac:dyDescent="0.2">
      <c r="F704" s="3"/>
    </row>
    <row r="705" spans="6:6" ht="13.5" x14ac:dyDescent="0.2">
      <c r="F705" s="3"/>
    </row>
    <row r="706" spans="6:6" ht="13.5" x14ac:dyDescent="0.2">
      <c r="F706" s="3"/>
    </row>
    <row r="707" spans="6:6" ht="13.5" x14ac:dyDescent="0.2">
      <c r="F707" s="3"/>
    </row>
    <row r="708" spans="6:6" ht="13.5" x14ac:dyDescent="0.2">
      <c r="F708" s="3"/>
    </row>
    <row r="709" spans="6:6" ht="13.5" x14ac:dyDescent="0.2">
      <c r="F709" s="3"/>
    </row>
    <row r="710" spans="6:6" ht="13.5" x14ac:dyDescent="0.2">
      <c r="F710" s="3"/>
    </row>
    <row r="711" spans="6:6" ht="13.5" x14ac:dyDescent="0.2">
      <c r="F711" s="3"/>
    </row>
    <row r="712" spans="6:6" ht="13.5" x14ac:dyDescent="0.2">
      <c r="F712" s="3"/>
    </row>
    <row r="713" spans="6:6" ht="13.5" x14ac:dyDescent="0.2">
      <c r="F713" s="3"/>
    </row>
    <row r="714" spans="6:6" ht="13.5" x14ac:dyDescent="0.2">
      <c r="F714" s="3"/>
    </row>
    <row r="715" spans="6:6" ht="13.5" x14ac:dyDescent="0.2">
      <c r="F715" s="3"/>
    </row>
    <row r="716" spans="6:6" ht="13.5" x14ac:dyDescent="0.2">
      <c r="F716" s="3"/>
    </row>
    <row r="717" spans="6:6" ht="13.5" x14ac:dyDescent="0.2">
      <c r="F717" s="3"/>
    </row>
    <row r="718" spans="6:6" ht="13.5" x14ac:dyDescent="0.2">
      <c r="F718" s="3"/>
    </row>
    <row r="719" spans="6:6" ht="13.5" x14ac:dyDescent="0.2">
      <c r="F719" s="3"/>
    </row>
    <row r="720" spans="6:6" ht="13.5" x14ac:dyDescent="0.2">
      <c r="F720" s="3"/>
    </row>
    <row r="721" spans="6:6" ht="13.5" x14ac:dyDescent="0.2">
      <c r="F721" s="3"/>
    </row>
    <row r="722" spans="6:6" ht="13.5" x14ac:dyDescent="0.2">
      <c r="F722" s="3"/>
    </row>
    <row r="723" spans="6:6" ht="13.5" x14ac:dyDescent="0.2">
      <c r="F723" s="3"/>
    </row>
    <row r="724" spans="6:6" ht="13.5" x14ac:dyDescent="0.2">
      <c r="F724" s="3"/>
    </row>
    <row r="725" spans="6:6" ht="13.5" x14ac:dyDescent="0.2">
      <c r="F725" s="3"/>
    </row>
    <row r="726" spans="6:6" ht="13.5" x14ac:dyDescent="0.2">
      <c r="F726" s="3"/>
    </row>
    <row r="727" spans="6:6" ht="13.5" x14ac:dyDescent="0.2">
      <c r="F727" s="3"/>
    </row>
    <row r="728" spans="6:6" ht="13.5" x14ac:dyDescent="0.2">
      <c r="F728" s="3"/>
    </row>
    <row r="729" spans="6:6" ht="13.5" x14ac:dyDescent="0.2">
      <c r="F729" s="3"/>
    </row>
    <row r="730" spans="6:6" ht="13.5" x14ac:dyDescent="0.2">
      <c r="F730" s="3"/>
    </row>
    <row r="731" spans="6:6" ht="13.5" x14ac:dyDescent="0.2">
      <c r="F731" s="3"/>
    </row>
    <row r="732" spans="6:6" ht="13.5" x14ac:dyDescent="0.2">
      <c r="F732" s="3"/>
    </row>
    <row r="733" spans="6:6" ht="13.5" x14ac:dyDescent="0.2">
      <c r="F733" s="3"/>
    </row>
    <row r="734" spans="6:6" ht="13.5" x14ac:dyDescent="0.2">
      <c r="F734" s="3"/>
    </row>
    <row r="735" spans="6:6" ht="13.5" x14ac:dyDescent="0.2">
      <c r="F735" s="3"/>
    </row>
    <row r="736" spans="6:6" ht="13.5" x14ac:dyDescent="0.2">
      <c r="F736" s="3"/>
    </row>
    <row r="737" spans="6:6" ht="13.5" x14ac:dyDescent="0.2">
      <c r="F737" s="3"/>
    </row>
    <row r="738" spans="6:6" ht="13.5" x14ac:dyDescent="0.2">
      <c r="F738" s="3"/>
    </row>
    <row r="739" spans="6:6" ht="13.5" x14ac:dyDescent="0.2">
      <c r="F739" s="3"/>
    </row>
    <row r="740" spans="6:6" ht="13.5" x14ac:dyDescent="0.2">
      <c r="F740" s="3"/>
    </row>
    <row r="741" spans="6:6" ht="13.5" x14ac:dyDescent="0.2">
      <c r="F741" s="3"/>
    </row>
    <row r="742" spans="6:6" ht="13.5" x14ac:dyDescent="0.2">
      <c r="F742" s="3"/>
    </row>
    <row r="743" spans="6:6" ht="13.5" x14ac:dyDescent="0.2">
      <c r="F743" s="3"/>
    </row>
    <row r="744" spans="6:6" ht="13.5" x14ac:dyDescent="0.2">
      <c r="F744" s="3"/>
    </row>
    <row r="745" spans="6:6" ht="13.5" x14ac:dyDescent="0.2">
      <c r="F745" s="3"/>
    </row>
    <row r="746" spans="6:6" ht="13.5" x14ac:dyDescent="0.2">
      <c r="F746" s="3"/>
    </row>
    <row r="747" spans="6:6" ht="13.5" x14ac:dyDescent="0.2">
      <c r="F747" s="3"/>
    </row>
    <row r="748" spans="6:6" ht="13.5" x14ac:dyDescent="0.2">
      <c r="F748" s="3"/>
    </row>
    <row r="749" spans="6:6" ht="13.5" x14ac:dyDescent="0.2">
      <c r="F749" s="3"/>
    </row>
    <row r="750" spans="6:6" ht="13.5" x14ac:dyDescent="0.2">
      <c r="F750" s="3"/>
    </row>
    <row r="751" spans="6:6" ht="13.5" x14ac:dyDescent="0.2">
      <c r="F751" s="3"/>
    </row>
    <row r="752" spans="6:6" ht="13.5" x14ac:dyDescent="0.2">
      <c r="F752" s="3"/>
    </row>
    <row r="753" spans="6:6" ht="13.5" x14ac:dyDescent="0.2">
      <c r="F753" s="3"/>
    </row>
    <row r="754" spans="6:6" ht="13.5" x14ac:dyDescent="0.2">
      <c r="F754" s="3"/>
    </row>
    <row r="755" spans="6:6" ht="13.5" x14ac:dyDescent="0.2">
      <c r="F755" s="3"/>
    </row>
    <row r="756" spans="6:6" ht="13.5" x14ac:dyDescent="0.2">
      <c r="F756" s="3"/>
    </row>
    <row r="757" spans="6:6" ht="13.5" x14ac:dyDescent="0.2">
      <c r="F757" s="3"/>
    </row>
    <row r="758" spans="6:6" ht="13.5" x14ac:dyDescent="0.2">
      <c r="F758" s="3"/>
    </row>
    <row r="759" spans="6:6" ht="13.5" x14ac:dyDescent="0.2">
      <c r="F759" s="3"/>
    </row>
    <row r="760" spans="6:6" ht="13.5" x14ac:dyDescent="0.2">
      <c r="F760" s="3"/>
    </row>
    <row r="761" spans="6:6" ht="13.5" x14ac:dyDescent="0.2">
      <c r="F761" s="3"/>
    </row>
    <row r="762" spans="6:6" ht="13.5" x14ac:dyDescent="0.2">
      <c r="F762" s="3"/>
    </row>
    <row r="763" spans="6:6" ht="13.5" x14ac:dyDescent="0.2">
      <c r="F763" s="3"/>
    </row>
    <row r="764" spans="6:6" ht="13.5" x14ac:dyDescent="0.2">
      <c r="F764" s="3"/>
    </row>
    <row r="765" spans="6:6" ht="13.5" x14ac:dyDescent="0.2">
      <c r="F765" s="3"/>
    </row>
    <row r="766" spans="6:6" ht="13.5" x14ac:dyDescent="0.2">
      <c r="F766" s="3"/>
    </row>
    <row r="767" spans="6:6" ht="13.5" x14ac:dyDescent="0.2">
      <c r="F767" s="3"/>
    </row>
    <row r="768" spans="6:6" ht="13.5" x14ac:dyDescent="0.2">
      <c r="F768" s="3"/>
    </row>
    <row r="769" spans="6:6" ht="13.5" x14ac:dyDescent="0.2">
      <c r="F769" s="3"/>
    </row>
    <row r="770" spans="6:6" ht="13.5" x14ac:dyDescent="0.2">
      <c r="F770" s="3"/>
    </row>
    <row r="771" spans="6:6" ht="13.5" x14ac:dyDescent="0.2">
      <c r="F771" s="3"/>
    </row>
    <row r="772" spans="6:6" ht="13.5" x14ac:dyDescent="0.2">
      <c r="F772" s="3"/>
    </row>
    <row r="773" spans="6:6" ht="13.5" x14ac:dyDescent="0.2">
      <c r="F773" s="3"/>
    </row>
    <row r="774" spans="6:6" ht="13.5" x14ac:dyDescent="0.2">
      <c r="F774" s="3"/>
    </row>
    <row r="775" spans="6:6" ht="13.5" x14ac:dyDescent="0.2">
      <c r="F775" s="3"/>
    </row>
    <row r="776" spans="6:6" ht="13.5" x14ac:dyDescent="0.2">
      <c r="F776" s="3"/>
    </row>
    <row r="777" spans="6:6" ht="13.5" x14ac:dyDescent="0.2">
      <c r="F777" s="3"/>
    </row>
    <row r="778" spans="6:6" ht="13.5" x14ac:dyDescent="0.2">
      <c r="F778" s="3"/>
    </row>
    <row r="779" spans="6:6" ht="13.5" x14ac:dyDescent="0.2">
      <c r="F779" s="3"/>
    </row>
    <row r="780" spans="6:6" ht="13.5" x14ac:dyDescent="0.2">
      <c r="F780" s="3"/>
    </row>
    <row r="781" spans="6:6" ht="13.5" x14ac:dyDescent="0.2">
      <c r="F781" s="3"/>
    </row>
    <row r="782" spans="6:6" ht="13.5" x14ac:dyDescent="0.2">
      <c r="F782" s="3"/>
    </row>
    <row r="783" spans="6:6" ht="13.5" x14ac:dyDescent="0.2">
      <c r="F783" s="3"/>
    </row>
    <row r="784" spans="6:6" ht="13.5" x14ac:dyDescent="0.2">
      <c r="F784" s="3"/>
    </row>
    <row r="785" spans="6:6" ht="13.5" x14ac:dyDescent="0.2">
      <c r="F785" s="3"/>
    </row>
    <row r="786" spans="6:6" ht="13.5" x14ac:dyDescent="0.2">
      <c r="F786" s="3"/>
    </row>
    <row r="787" spans="6:6" ht="13.5" x14ac:dyDescent="0.2">
      <c r="F787" s="3"/>
    </row>
    <row r="788" spans="6:6" ht="13.5" x14ac:dyDescent="0.2">
      <c r="F788" s="3"/>
    </row>
    <row r="789" spans="6:6" ht="13.5" x14ac:dyDescent="0.2">
      <c r="F789" s="3"/>
    </row>
    <row r="790" spans="6:6" ht="13.5" x14ac:dyDescent="0.2">
      <c r="F790" s="3"/>
    </row>
    <row r="791" spans="6:6" ht="13.5" x14ac:dyDescent="0.2">
      <c r="F791" s="3"/>
    </row>
    <row r="792" spans="6:6" ht="13.5" x14ac:dyDescent="0.2">
      <c r="F792" s="3"/>
    </row>
    <row r="793" spans="6:6" ht="13.5" x14ac:dyDescent="0.2">
      <c r="F793" s="3"/>
    </row>
    <row r="794" spans="6:6" ht="13.5" x14ac:dyDescent="0.2">
      <c r="F794" s="3"/>
    </row>
    <row r="795" spans="6:6" ht="13.5" x14ac:dyDescent="0.2">
      <c r="F795" s="3"/>
    </row>
    <row r="796" spans="6:6" ht="13.5" x14ac:dyDescent="0.2">
      <c r="F796" s="3"/>
    </row>
    <row r="797" spans="6:6" ht="13.5" x14ac:dyDescent="0.2">
      <c r="F797" s="3"/>
    </row>
    <row r="798" spans="6:6" ht="13.5" x14ac:dyDescent="0.2">
      <c r="F798" s="3"/>
    </row>
    <row r="799" spans="6:6" ht="13.5" x14ac:dyDescent="0.2">
      <c r="F799" s="3"/>
    </row>
    <row r="800" spans="6:6" ht="13.5" x14ac:dyDescent="0.2">
      <c r="F800" s="3"/>
    </row>
    <row r="801" spans="6:6" ht="13.5" x14ac:dyDescent="0.2">
      <c r="F801" s="3"/>
    </row>
    <row r="802" spans="6:6" ht="13.5" x14ac:dyDescent="0.2">
      <c r="F802" s="3"/>
    </row>
    <row r="803" spans="6:6" ht="13.5" x14ac:dyDescent="0.2">
      <c r="F803" s="3"/>
    </row>
    <row r="804" spans="6:6" ht="13.5" x14ac:dyDescent="0.2">
      <c r="F804" s="3"/>
    </row>
    <row r="805" spans="6:6" ht="13.5" x14ac:dyDescent="0.2">
      <c r="F805" s="3"/>
    </row>
    <row r="806" spans="6:6" ht="13.5" x14ac:dyDescent="0.2">
      <c r="F806" s="3"/>
    </row>
    <row r="807" spans="6:6" ht="13.5" x14ac:dyDescent="0.2">
      <c r="F807" s="3"/>
    </row>
    <row r="808" spans="6:6" ht="13.5" x14ac:dyDescent="0.2">
      <c r="F808" s="3"/>
    </row>
    <row r="809" spans="6:6" ht="13.5" x14ac:dyDescent="0.2">
      <c r="F809" s="3"/>
    </row>
    <row r="810" spans="6:6" ht="13.5" x14ac:dyDescent="0.2">
      <c r="F810" s="3"/>
    </row>
    <row r="811" spans="6:6" ht="13.5" x14ac:dyDescent="0.2">
      <c r="F811" s="3"/>
    </row>
    <row r="812" spans="6:6" ht="13.5" x14ac:dyDescent="0.2">
      <c r="F812" s="3"/>
    </row>
    <row r="813" spans="6:6" ht="13.5" x14ac:dyDescent="0.2">
      <c r="F813" s="3"/>
    </row>
    <row r="814" spans="6:6" ht="13.5" x14ac:dyDescent="0.2">
      <c r="F814" s="3"/>
    </row>
    <row r="815" spans="6:6" ht="13.5" x14ac:dyDescent="0.2">
      <c r="F815" s="3"/>
    </row>
    <row r="816" spans="6:6" ht="13.5" x14ac:dyDescent="0.2">
      <c r="F816" s="3"/>
    </row>
    <row r="817" spans="6:6" ht="13.5" x14ac:dyDescent="0.2">
      <c r="F817" s="3"/>
    </row>
    <row r="818" spans="6:6" ht="13.5" x14ac:dyDescent="0.2">
      <c r="F818" s="3"/>
    </row>
    <row r="819" spans="6:6" ht="13.5" x14ac:dyDescent="0.2">
      <c r="F819" s="3"/>
    </row>
    <row r="820" spans="6:6" ht="13.5" x14ac:dyDescent="0.2">
      <c r="F820" s="3"/>
    </row>
    <row r="821" spans="6:6" ht="13.5" x14ac:dyDescent="0.2">
      <c r="F821" s="3"/>
    </row>
    <row r="822" spans="6:6" ht="13.5" x14ac:dyDescent="0.2">
      <c r="F822" s="3"/>
    </row>
    <row r="823" spans="6:6" ht="13.5" x14ac:dyDescent="0.2">
      <c r="F823" s="3"/>
    </row>
    <row r="824" spans="6:6" ht="13.5" x14ac:dyDescent="0.2">
      <c r="F824" s="3"/>
    </row>
    <row r="825" spans="6:6" ht="13.5" x14ac:dyDescent="0.2">
      <c r="F825" s="3"/>
    </row>
    <row r="826" spans="6:6" ht="13.5" x14ac:dyDescent="0.2">
      <c r="F826" s="3"/>
    </row>
    <row r="827" spans="6:6" ht="13.5" x14ac:dyDescent="0.2">
      <c r="F827" s="3"/>
    </row>
    <row r="828" spans="6:6" ht="13.5" x14ac:dyDescent="0.2">
      <c r="F828" s="3"/>
    </row>
    <row r="829" spans="6:6" ht="13.5" x14ac:dyDescent="0.2">
      <c r="F829" s="3"/>
    </row>
    <row r="830" spans="6:6" ht="13.5" x14ac:dyDescent="0.2">
      <c r="F830" s="3"/>
    </row>
    <row r="831" spans="6:6" ht="13.5" x14ac:dyDescent="0.2">
      <c r="F831" s="3"/>
    </row>
    <row r="832" spans="6:6" ht="13.5" x14ac:dyDescent="0.2">
      <c r="F832" s="3"/>
    </row>
    <row r="833" spans="6:6" ht="13.5" x14ac:dyDescent="0.2">
      <c r="F833" s="3"/>
    </row>
    <row r="834" spans="6:6" ht="13.5" x14ac:dyDescent="0.2">
      <c r="F834" s="3"/>
    </row>
    <row r="835" spans="6:6" ht="13.5" x14ac:dyDescent="0.2">
      <c r="F835" s="3"/>
    </row>
    <row r="836" spans="6:6" ht="13.5" x14ac:dyDescent="0.2">
      <c r="F836" s="3"/>
    </row>
    <row r="837" spans="6:6" ht="13.5" x14ac:dyDescent="0.2">
      <c r="F837" s="3"/>
    </row>
    <row r="838" spans="6:6" ht="13.5" x14ac:dyDescent="0.2">
      <c r="F838" s="3"/>
    </row>
    <row r="839" spans="6:6" ht="13.5" x14ac:dyDescent="0.2">
      <c r="F839" s="3"/>
    </row>
    <row r="840" spans="6:6" ht="13.5" x14ac:dyDescent="0.2">
      <c r="F840" s="3"/>
    </row>
    <row r="841" spans="6:6" ht="13.5" x14ac:dyDescent="0.2">
      <c r="F841" s="3"/>
    </row>
    <row r="842" spans="6:6" ht="13.5" x14ac:dyDescent="0.2">
      <c r="F842" s="3"/>
    </row>
    <row r="843" spans="6:6" ht="13.5" x14ac:dyDescent="0.2">
      <c r="F843" s="3"/>
    </row>
    <row r="844" spans="6:6" ht="13.5" x14ac:dyDescent="0.2">
      <c r="F844" s="3"/>
    </row>
    <row r="845" spans="6:6" ht="13.5" x14ac:dyDescent="0.2">
      <c r="F845" s="3"/>
    </row>
    <row r="846" spans="6:6" ht="13.5" x14ac:dyDescent="0.2">
      <c r="F846" s="3"/>
    </row>
    <row r="847" spans="6:6" ht="13.5" x14ac:dyDescent="0.2">
      <c r="F847" s="3"/>
    </row>
    <row r="848" spans="6:6" ht="13.5" x14ac:dyDescent="0.2">
      <c r="F848" s="3"/>
    </row>
    <row r="849" spans="6:6" ht="13.5" x14ac:dyDescent="0.2">
      <c r="F849" s="3"/>
    </row>
    <row r="850" spans="6:6" ht="13.5" x14ac:dyDescent="0.2">
      <c r="F850" s="3"/>
    </row>
    <row r="851" spans="6:6" ht="13.5" x14ac:dyDescent="0.2">
      <c r="F851" s="3"/>
    </row>
    <row r="852" spans="6:6" ht="13.5" x14ac:dyDescent="0.2">
      <c r="F852" s="3"/>
    </row>
    <row r="853" spans="6:6" ht="13.5" x14ac:dyDescent="0.2">
      <c r="F853" s="3"/>
    </row>
    <row r="854" spans="6:6" ht="13.5" x14ac:dyDescent="0.2">
      <c r="F854" s="3"/>
    </row>
    <row r="855" spans="6:6" ht="13.5" x14ac:dyDescent="0.2">
      <c r="F855" s="3"/>
    </row>
    <row r="856" spans="6:6" ht="13.5" x14ac:dyDescent="0.2">
      <c r="F856" s="3"/>
    </row>
    <row r="857" spans="6:6" ht="13.5" x14ac:dyDescent="0.2">
      <c r="F857" s="3"/>
    </row>
    <row r="858" spans="6:6" ht="13.5" x14ac:dyDescent="0.2">
      <c r="F858" s="3"/>
    </row>
    <row r="859" spans="6:6" ht="13.5" x14ac:dyDescent="0.2">
      <c r="F859" s="3"/>
    </row>
    <row r="860" spans="6:6" ht="13.5" x14ac:dyDescent="0.2">
      <c r="F860" s="3"/>
    </row>
    <row r="861" spans="6:6" ht="13.5" x14ac:dyDescent="0.2">
      <c r="F861" s="3"/>
    </row>
    <row r="862" spans="6:6" ht="13.5" x14ac:dyDescent="0.2">
      <c r="F862" s="3"/>
    </row>
    <row r="863" spans="6:6" ht="13.5" x14ac:dyDescent="0.2">
      <c r="F863" s="3"/>
    </row>
    <row r="864" spans="6:6" ht="13.5" x14ac:dyDescent="0.2">
      <c r="F864" s="3"/>
    </row>
    <row r="865" spans="6:6" ht="13.5" x14ac:dyDescent="0.2">
      <c r="F865" s="3"/>
    </row>
    <row r="866" spans="6:6" ht="13.5" x14ac:dyDescent="0.2">
      <c r="F866" s="3"/>
    </row>
    <row r="867" spans="6:6" ht="13.5" x14ac:dyDescent="0.2">
      <c r="F867" s="3"/>
    </row>
    <row r="868" spans="6:6" ht="13.5" x14ac:dyDescent="0.2">
      <c r="F868" s="3"/>
    </row>
    <row r="869" spans="6:6" ht="13.5" x14ac:dyDescent="0.2">
      <c r="F869" s="3"/>
    </row>
    <row r="870" spans="6:6" ht="13.5" x14ac:dyDescent="0.2">
      <c r="F870" s="3"/>
    </row>
    <row r="871" spans="6:6" ht="13.5" x14ac:dyDescent="0.2">
      <c r="F871" s="3"/>
    </row>
    <row r="872" spans="6:6" ht="13.5" x14ac:dyDescent="0.2">
      <c r="F872" s="3"/>
    </row>
    <row r="873" spans="6:6" ht="13.5" x14ac:dyDescent="0.2">
      <c r="F873" s="3"/>
    </row>
    <row r="874" spans="6:6" ht="13.5" x14ac:dyDescent="0.2">
      <c r="F874" s="3"/>
    </row>
    <row r="875" spans="6:6" ht="13.5" x14ac:dyDescent="0.2">
      <c r="F875" s="3"/>
    </row>
    <row r="876" spans="6:6" ht="13.5" x14ac:dyDescent="0.2">
      <c r="F876" s="3"/>
    </row>
    <row r="877" spans="6:6" ht="13.5" x14ac:dyDescent="0.2">
      <c r="F877" s="3"/>
    </row>
    <row r="878" spans="6:6" ht="13.5" x14ac:dyDescent="0.2">
      <c r="F878" s="3"/>
    </row>
    <row r="879" spans="6:6" ht="13.5" x14ac:dyDescent="0.2">
      <c r="F879" s="3"/>
    </row>
    <row r="880" spans="6:6" ht="13.5" x14ac:dyDescent="0.2">
      <c r="F880" s="3"/>
    </row>
    <row r="881" spans="6:6" ht="13.5" x14ac:dyDescent="0.2">
      <c r="F881" s="3"/>
    </row>
    <row r="882" spans="6:6" ht="13.5" x14ac:dyDescent="0.2">
      <c r="F882" s="3"/>
    </row>
    <row r="883" spans="6:6" ht="13.5" x14ac:dyDescent="0.2">
      <c r="F883" s="3"/>
    </row>
    <row r="884" spans="6:6" ht="13.5" x14ac:dyDescent="0.2">
      <c r="F884" s="3"/>
    </row>
    <row r="885" spans="6:6" ht="13.5" x14ac:dyDescent="0.2">
      <c r="F885" s="3"/>
    </row>
    <row r="886" spans="6:6" ht="13.5" x14ac:dyDescent="0.2">
      <c r="F886" s="3"/>
    </row>
    <row r="887" spans="6:6" ht="13.5" x14ac:dyDescent="0.2">
      <c r="F887" s="3"/>
    </row>
    <row r="888" spans="6:6" ht="13.5" x14ac:dyDescent="0.2">
      <c r="F888" s="3"/>
    </row>
    <row r="889" spans="6:6" ht="13.5" x14ac:dyDescent="0.2">
      <c r="F889" s="3"/>
    </row>
    <row r="890" spans="6:6" ht="13.5" x14ac:dyDescent="0.2">
      <c r="F890" s="3"/>
    </row>
    <row r="891" spans="6:6" ht="13.5" x14ac:dyDescent="0.2">
      <c r="F891" s="3"/>
    </row>
    <row r="892" spans="6:6" ht="13.5" x14ac:dyDescent="0.2">
      <c r="F892" s="3"/>
    </row>
    <row r="893" spans="6:6" ht="13.5" x14ac:dyDescent="0.2">
      <c r="F893" s="3"/>
    </row>
    <row r="894" spans="6:6" ht="13.5" x14ac:dyDescent="0.2">
      <c r="F894" s="3"/>
    </row>
    <row r="895" spans="6:6" ht="13.5" x14ac:dyDescent="0.2">
      <c r="F895" s="3"/>
    </row>
    <row r="896" spans="6:6" ht="13.5" x14ac:dyDescent="0.2">
      <c r="F896" s="3"/>
    </row>
    <row r="897" spans="6:6" ht="13.5" x14ac:dyDescent="0.2">
      <c r="F897" s="3"/>
    </row>
    <row r="898" spans="6:6" ht="13.5" x14ac:dyDescent="0.2">
      <c r="F898" s="3"/>
    </row>
    <row r="899" spans="6:6" ht="13.5" x14ac:dyDescent="0.2">
      <c r="F899" s="3"/>
    </row>
    <row r="900" spans="6:6" ht="13.5" x14ac:dyDescent="0.2">
      <c r="F900" s="3"/>
    </row>
    <row r="901" spans="6:6" ht="13.5" x14ac:dyDescent="0.2">
      <c r="F901" s="3"/>
    </row>
    <row r="902" spans="6:6" ht="13.5" x14ac:dyDescent="0.2">
      <c r="F902" s="3"/>
    </row>
    <row r="903" spans="6:6" ht="13.5" x14ac:dyDescent="0.2">
      <c r="F903" s="3"/>
    </row>
    <row r="904" spans="6:6" ht="13.5" x14ac:dyDescent="0.2">
      <c r="F904" s="3"/>
    </row>
    <row r="905" spans="6:6" ht="13.5" x14ac:dyDescent="0.2">
      <c r="F905" s="3"/>
    </row>
    <row r="906" spans="6:6" ht="13.5" x14ac:dyDescent="0.2">
      <c r="F906" s="3"/>
    </row>
    <row r="907" spans="6:6" ht="13.5" x14ac:dyDescent="0.2">
      <c r="F907" s="3"/>
    </row>
    <row r="908" spans="6:6" ht="13.5" x14ac:dyDescent="0.2">
      <c r="F908" s="3"/>
    </row>
    <row r="909" spans="6:6" ht="13.5" x14ac:dyDescent="0.2">
      <c r="F909" s="3"/>
    </row>
    <row r="910" spans="6:6" ht="13.5" x14ac:dyDescent="0.2">
      <c r="F910" s="3"/>
    </row>
    <row r="911" spans="6:6" ht="13.5" x14ac:dyDescent="0.2">
      <c r="F911" s="3"/>
    </row>
    <row r="912" spans="6:6" ht="13.5" x14ac:dyDescent="0.2">
      <c r="F912" s="3"/>
    </row>
    <row r="913" spans="6:6" ht="13.5" x14ac:dyDescent="0.2">
      <c r="F913" s="3"/>
    </row>
    <row r="914" spans="6:6" ht="13.5" x14ac:dyDescent="0.2">
      <c r="F914" s="3"/>
    </row>
    <row r="915" spans="6:6" ht="13.5" x14ac:dyDescent="0.2">
      <c r="F915" s="3"/>
    </row>
    <row r="916" spans="6:6" ht="13.5" x14ac:dyDescent="0.2">
      <c r="F916" s="3"/>
    </row>
    <row r="917" spans="6:6" ht="13.5" x14ac:dyDescent="0.2">
      <c r="F917" s="3"/>
    </row>
    <row r="918" spans="6:6" ht="13.5" x14ac:dyDescent="0.2">
      <c r="F918" s="3"/>
    </row>
    <row r="919" spans="6:6" ht="13.5" x14ac:dyDescent="0.2">
      <c r="F919" s="3"/>
    </row>
    <row r="920" spans="6:6" ht="13.5" x14ac:dyDescent="0.2">
      <c r="F920" s="3"/>
    </row>
    <row r="921" spans="6:6" ht="13.5" x14ac:dyDescent="0.2">
      <c r="F921" s="3"/>
    </row>
    <row r="922" spans="6:6" ht="13.5" x14ac:dyDescent="0.2">
      <c r="F922" s="3"/>
    </row>
    <row r="923" spans="6:6" ht="13.5" x14ac:dyDescent="0.2">
      <c r="F923" s="3"/>
    </row>
    <row r="924" spans="6:6" ht="13.5" x14ac:dyDescent="0.2">
      <c r="F924" s="3"/>
    </row>
    <row r="925" spans="6:6" ht="13.5" x14ac:dyDescent="0.2">
      <c r="F925" s="3"/>
    </row>
    <row r="926" spans="6:6" ht="13.5" x14ac:dyDescent="0.2">
      <c r="F926" s="3"/>
    </row>
    <row r="927" spans="6:6" ht="13.5" x14ac:dyDescent="0.2">
      <c r="F927" s="3"/>
    </row>
    <row r="928" spans="6:6" ht="13.5" x14ac:dyDescent="0.2">
      <c r="F928" s="3"/>
    </row>
    <row r="929" spans="6:6" ht="13.5" x14ac:dyDescent="0.2">
      <c r="F929" s="3"/>
    </row>
    <row r="930" spans="6:6" ht="13.5" x14ac:dyDescent="0.2">
      <c r="F930" s="3"/>
    </row>
    <row r="931" spans="6:6" ht="13.5" x14ac:dyDescent="0.2">
      <c r="F931" s="3"/>
    </row>
    <row r="932" spans="6:6" ht="13.5" x14ac:dyDescent="0.2">
      <c r="F932" s="3"/>
    </row>
    <row r="933" spans="6:6" ht="13.5" x14ac:dyDescent="0.2">
      <c r="F933" s="3"/>
    </row>
    <row r="934" spans="6:6" ht="13.5" x14ac:dyDescent="0.2">
      <c r="F934" s="3"/>
    </row>
    <row r="935" spans="6:6" ht="13.5" x14ac:dyDescent="0.2">
      <c r="F935" s="3"/>
    </row>
    <row r="936" spans="6:6" ht="13.5" x14ac:dyDescent="0.2">
      <c r="F936" s="3"/>
    </row>
    <row r="937" spans="6:6" ht="13.5" x14ac:dyDescent="0.2">
      <c r="F937" s="3"/>
    </row>
    <row r="938" spans="6:6" ht="13.5" x14ac:dyDescent="0.2">
      <c r="F938" s="3"/>
    </row>
    <row r="939" spans="6:6" ht="13.5" x14ac:dyDescent="0.2">
      <c r="F939" s="3"/>
    </row>
    <row r="940" spans="6:6" ht="13.5" x14ac:dyDescent="0.2">
      <c r="F940" s="3"/>
    </row>
    <row r="941" spans="6:6" ht="13.5" x14ac:dyDescent="0.2">
      <c r="F941" s="3"/>
    </row>
    <row r="942" spans="6:6" ht="13.5" x14ac:dyDescent="0.2">
      <c r="F942" s="3"/>
    </row>
    <row r="943" spans="6:6" ht="13.5" x14ac:dyDescent="0.2">
      <c r="F943" s="3"/>
    </row>
    <row r="944" spans="6:6" ht="13.5" x14ac:dyDescent="0.2">
      <c r="F944" s="3"/>
    </row>
    <row r="945" spans="6:6" ht="13.5" x14ac:dyDescent="0.2">
      <c r="F945" s="3"/>
    </row>
    <row r="946" spans="6:6" ht="13.5" x14ac:dyDescent="0.2">
      <c r="F946" s="3"/>
    </row>
    <row r="947" spans="6:6" ht="13.5" x14ac:dyDescent="0.2">
      <c r="F947" s="3"/>
    </row>
    <row r="948" spans="6:6" ht="13.5" x14ac:dyDescent="0.2">
      <c r="F948" s="3"/>
    </row>
    <row r="949" spans="6:6" ht="13.5" x14ac:dyDescent="0.2">
      <c r="F949" s="3"/>
    </row>
    <row r="950" spans="6:6" ht="13.5" x14ac:dyDescent="0.2">
      <c r="F950" s="3"/>
    </row>
    <row r="951" spans="6:6" ht="13.5" x14ac:dyDescent="0.2">
      <c r="F951" s="3"/>
    </row>
    <row r="952" spans="6:6" ht="13.5" x14ac:dyDescent="0.2">
      <c r="F952" s="3"/>
    </row>
    <row r="953" spans="6:6" ht="13.5" x14ac:dyDescent="0.2">
      <c r="F953" s="3"/>
    </row>
    <row r="954" spans="6:6" ht="13.5" x14ac:dyDescent="0.2">
      <c r="F954" s="3"/>
    </row>
    <row r="955" spans="6:6" ht="13.5" x14ac:dyDescent="0.2">
      <c r="F955" s="3"/>
    </row>
    <row r="956" spans="6:6" ht="13.5" x14ac:dyDescent="0.2">
      <c r="F956" s="3"/>
    </row>
    <row r="957" spans="6:6" ht="13.5" x14ac:dyDescent="0.2">
      <c r="F957" s="3"/>
    </row>
    <row r="958" spans="6:6" ht="13.5" x14ac:dyDescent="0.2">
      <c r="F958" s="3"/>
    </row>
    <row r="959" spans="6:6" ht="13.5" x14ac:dyDescent="0.2">
      <c r="F959" s="3"/>
    </row>
    <row r="960" spans="6:6" ht="13.5" x14ac:dyDescent="0.2">
      <c r="F960" s="3"/>
    </row>
    <row r="961" spans="6:6" ht="13.5" x14ac:dyDescent="0.2">
      <c r="F961" s="3"/>
    </row>
    <row r="962" spans="6:6" ht="13.5" x14ac:dyDescent="0.2">
      <c r="F962" s="3"/>
    </row>
    <row r="963" spans="6:6" ht="13.5" x14ac:dyDescent="0.2">
      <c r="F963" s="3"/>
    </row>
  </sheetData>
  <sortState ref="E19:E25">
    <sortCondition descending="1" ref="E11"/>
  </sortState>
  <mergeCells count="61">
    <mergeCell ref="D91:D92"/>
    <mergeCell ref="D133:E133"/>
    <mergeCell ref="D134:E134"/>
    <mergeCell ref="D135:E135"/>
    <mergeCell ref="D136:E136"/>
    <mergeCell ref="D93:D96"/>
    <mergeCell ref="C5:C9"/>
    <mergeCell ref="D137:E137"/>
    <mergeCell ref="D97:D101"/>
    <mergeCell ref="B102:B132"/>
    <mergeCell ref="C102:C132"/>
    <mergeCell ref="D102:D107"/>
    <mergeCell ref="D108:D121"/>
    <mergeCell ref="D122:D123"/>
    <mergeCell ref="D124:D127"/>
    <mergeCell ref="D128:D132"/>
    <mergeCell ref="B133:B137"/>
    <mergeCell ref="C133:C137"/>
    <mergeCell ref="B71:B101"/>
    <mergeCell ref="C71:C101"/>
    <mergeCell ref="D71:D76"/>
    <mergeCell ref="D77:D90"/>
    <mergeCell ref="J2:J4"/>
    <mergeCell ref="D31:D34"/>
    <mergeCell ref="D35:D39"/>
    <mergeCell ref="B2:B4"/>
    <mergeCell ref="C2:C4"/>
    <mergeCell ref="D10:D15"/>
    <mergeCell ref="D16:D28"/>
    <mergeCell ref="D29:D30"/>
    <mergeCell ref="D5:E5"/>
    <mergeCell ref="D6:E6"/>
    <mergeCell ref="D7:E7"/>
    <mergeCell ref="D8:E8"/>
    <mergeCell ref="D9:E9"/>
    <mergeCell ref="D2:E2"/>
    <mergeCell ref="D3:D4"/>
    <mergeCell ref="B5:B9"/>
    <mergeCell ref="B40:B70"/>
    <mergeCell ref="C40:C70"/>
    <mergeCell ref="D40:D45"/>
    <mergeCell ref="D46:D59"/>
    <mergeCell ref="D60:D61"/>
    <mergeCell ref="D62:D65"/>
    <mergeCell ref="D66:D70"/>
    <mergeCell ref="B10:B39"/>
    <mergeCell ref="C10:C39"/>
    <mergeCell ref="B1:AH1"/>
    <mergeCell ref="K2:AH2"/>
    <mergeCell ref="K3:M3"/>
    <mergeCell ref="N3:R3"/>
    <mergeCell ref="I2:I4"/>
    <mergeCell ref="V3:Y3"/>
    <mergeCell ref="Z3:AD3"/>
    <mergeCell ref="AE3:AH3"/>
    <mergeCell ref="S3:U3"/>
    <mergeCell ref="F2:F4"/>
    <mergeCell ref="E3:E4"/>
    <mergeCell ref="J5:J137"/>
    <mergeCell ref="G2:G4"/>
    <mergeCell ref="H2:H4"/>
  </mergeCells>
  <phoneticPr fontId="1" type="noConversion"/>
  <conditionalFormatting sqref="H5">
    <cfRule type="cellIs" dxfId="785" priority="1758" operator="equal">
      <formula>"진행중"</formula>
    </cfRule>
    <cfRule type="cellIs" dxfId="784" priority="1759" operator="equal">
      <formula>"예정"</formula>
    </cfRule>
    <cfRule type="cellIs" dxfId="783" priority="1760" operator="equal">
      <formula>"완료"</formula>
    </cfRule>
  </conditionalFormatting>
  <conditionalFormatting sqref="K5:U5">
    <cfRule type="colorScale" priority="1763">
      <colorScale>
        <cfvo type="num" val="0"/>
        <cfvo type="num" val="1"/>
        <color rgb="FFFFFFFF"/>
        <color rgb="FF57BB8A"/>
      </colorScale>
    </cfRule>
  </conditionalFormatting>
  <conditionalFormatting sqref="I5">
    <cfRule type="dataBar" priority="166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{7DB9C48F-92D8-4577-8226-E524905CD65E}</x14:id>
        </ext>
      </extLst>
    </cfRule>
  </conditionalFormatting>
  <conditionalFormatting sqref="I6">
    <cfRule type="dataBar" priority="157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{DA57E16C-762C-488B-9BC2-EEA553BE3994}</x14:id>
        </ext>
      </extLst>
    </cfRule>
  </conditionalFormatting>
  <conditionalFormatting sqref="G5">
    <cfRule type="colorScale" priority="1573">
      <colorScale>
        <cfvo type="num" val="0"/>
        <cfvo type="num" val="1"/>
        <color rgb="FFFFFFFF"/>
        <color rgb="FF57BB8A"/>
      </colorScale>
    </cfRule>
  </conditionalFormatting>
  <conditionalFormatting sqref="K6:U6">
    <cfRule type="colorScale" priority="1570">
      <colorScale>
        <cfvo type="num" val="0"/>
        <cfvo type="num" val="1"/>
        <color rgb="FFFFFFFF"/>
        <color rgb="FF57BB8A"/>
      </colorScale>
    </cfRule>
  </conditionalFormatting>
  <conditionalFormatting sqref="K7:U7">
    <cfRule type="colorScale" priority="1569">
      <colorScale>
        <cfvo type="num" val="0"/>
        <cfvo type="num" val="1"/>
        <color rgb="FFFFFFFF"/>
        <color rgb="FF57BB8A"/>
      </colorScale>
    </cfRule>
  </conditionalFormatting>
  <conditionalFormatting sqref="K8:U8">
    <cfRule type="colorScale" priority="1568">
      <colorScale>
        <cfvo type="num" val="0"/>
        <cfvo type="num" val="1"/>
        <color rgb="FFFFFFFF"/>
        <color rgb="FF57BB8A"/>
      </colorScale>
    </cfRule>
  </conditionalFormatting>
  <conditionalFormatting sqref="K9:U9">
    <cfRule type="colorScale" priority="1567">
      <colorScale>
        <cfvo type="num" val="0"/>
        <cfvo type="num" val="1"/>
        <color rgb="FFFFFFFF"/>
        <color rgb="FF57BB8A"/>
      </colorScale>
    </cfRule>
  </conditionalFormatting>
  <conditionalFormatting sqref="K10:U10">
    <cfRule type="colorScale" priority="1566">
      <colorScale>
        <cfvo type="num" val="0"/>
        <cfvo type="num" val="1"/>
        <color rgb="FFFFFFFF"/>
        <color rgb="FF57BB8A"/>
      </colorScale>
    </cfRule>
  </conditionalFormatting>
  <conditionalFormatting sqref="K11:U11">
    <cfRule type="colorScale" priority="1565">
      <colorScale>
        <cfvo type="num" val="0"/>
        <cfvo type="num" val="1"/>
        <color rgb="FFFFFFFF"/>
        <color rgb="FF57BB8A"/>
      </colorScale>
    </cfRule>
  </conditionalFormatting>
  <conditionalFormatting sqref="K12:U12">
    <cfRule type="colorScale" priority="1564">
      <colorScale>
        <cfvo type="num" val="0"/>
        <cfvo type="num" val="1"/>
        <color rgb="FFFFFFFF"/>
        <color rgb="FF57BB8A"/>
      </colorScale>
    </cfRule>
  </conditionalFormatting>
  <conditionalFormatting sqref="K13:U13">
    <cfRule type="colorScale" priority="1563">
      <colorScale>
        <cfvo type="num" val="0"/>
        <cfvo type="num" val="1"/>
        <color rgb="FFFFFFFF"/>
        <color rgb="FF57BB8A"/>
      </colorScale>
    </cfRule>
  </conditionalFormatting>
  <conditionalFormatting sqref="K14:U14">
    <cfRule type="colorScale" priority="1562">
      <colorScale>
        <cfvo type="num" val="0"/>
        <cfvo type="num" val="1"/>
        <color rgb="FFFFFFFF"/>
        <color rgb="FF57BB8A"/>
      </colorScale>
    </cfRule>
  </conditionalFormatting>
  <conditionalFormatting sqref="K15:U15">
    <cfRule type="colorScale" priority="1561">
      <colorScale>
        <cfvo type="num" val="0"/>
        <cfvo type="num" val="1"/>
        <color rgb="FFFFFFFF"/>
        <color rgb="FF57BB8A"/>
      </colorScale>
    </cfRule>
  </conditionalFormatting>
  <conditionalFormatting sqref="K16:U16">
    <cfRule type="colorScale" priority="1560">
      <colorScale>
        <cfvo type="num" val="0"/>
        <cfvo type="num" val="1"/>
        <color rgb="FFFFFFFF"/>
        <color rgb="FF57BB8A"/>
      </colorScale>
    </cfRule>
  </conditionalFormatting>
  <conditionalFormatting sqref="K17:U17">
    <cfRule type="colorScale" priority="1559">
      <colorScale>
        <cfvo type="num" val="0"/>
        <cfvo type="num" val="1"/>
        <color rgb="FFFFFFFF"/>
        <color rgb="FF57BB8A"/>
      </colorScale>
    </cfRule>
  </conditionalFormatting>
  <conditionalFormatting sqref="K18:U18">
    <cfRule type="colorScale" priority="1558">
      <colorScale>
        <cfvo type="num" val="0"/>
        <cfvo type="num" val="1"/>
        <color rgb="FFFFFFFF"/>
        <color rgb="FF57BB8A"/>
      </colorScale>
    </cfRule>
  </conditionalFormatting>
  <conditionalFormatting sqref="K19:U19">
    <cfRule type="colorScale" priority="1557">
      <colorScale>
        <cfvo type="num" val="0"/>
        <cfvo type="num" val="1"/>
        <color rgb="FFFFFFFF"/>
        <color rgb="FF57BB8A"/>
      </colorScale>
    </cfRule>
  </conditionalFormatting>
  <conditionalFormatting sqref="K20:U20">
    <cfRule type="colorScale" priority="1556">
      <colorScale>
        <cfvo type="num" val="0"/>
        <cfvo type="num" val="1"/>
        <color rgb="FFFFFFFF"/>
        <color rgb="FF57BB8A"/>
      </colorScale>
    </cfRule>
  </conditionalFormatting>
  <conditionalFormatting sqref="K21:U21">
    <cfRule type="colorScale" priority="1555">
      <colorScale>
        <cfvo type="num" val="0"/>
        <cfvo type="num" val="1"/>
        <color rgb="FFFFFFFF"/>
        <color rgb="FF57BB8A"/>
      </colorScale>
    </cfRule>
  </conditionalFormatting>
  <conditionalFormatting sqref="K22:U22">
    <cfRule type="colorScale" priority="1554">
      <colorScale>
        <cfvo type="num" val="0"/>
        <cfvo type="num" val="1"/>
        <color rgb="FFFFFFFF"/>
        <color rgb="FF57BB8A"/>
      </colorScale>
    </cfRule>
  </conditionalFormatting>
  <conditionalFormatting sqref="K23:U23">
    <cfRule type="colorScale" priority="1552">
      <colorScale>
        <cfvo type="num" val="0"/>
        <cfvo type="num" val="1"/>
        <color rgb="FFFFFFFF"/>
        <color rgb="FF57BB8A"/>
      </colorScale>
    </cfRule>
  </conditionalFormatting>
  <conditionalFormatting sqref="K24:U24">
    <cfRule type="colorScale" priority="1551">
      <colorScale>
        <cfvo type="num" val="0"/>
        <cfvo type="num" val="1"/>
        <color rgb="FFFFFFFF"/>
        <color rgb="FF57BB8A"/>
      </colorScale>
    </cfRule>
  </conditionalFormatting>
  <conditionalFormatting sqref="K25:U25">
    <cfRule type="colorScale" priority="1550">
      <colorScale>
        <cfvo type="num" val="0"/>
        <cfvo type="num" val="1"/>
        <color rgb="FFFFFFFF"/>
        <color rgb="FF57BB8A"/>
      </colorScale>
    </cfRule>
  </conditionalFormatting>
  <conditionalFormatting sqref="K26:U26">
    <cfRule type="colorScale" priority="1548">
      <colorScale>
        <cfvo type="num" val="0"/>
        <cfvo type="num" val="1"/>
        <color rgb="FFFFFFFF"/>
        <color rgb="FF57BB8A"/>
      </colorScale>
    </cfRule>
  </conditionalFormatting>
  <conditionalFormatting sqref="K27:U27">
    <cfRule type="colorScale" priority="1547">
      <colorScale>
        <cfvo type="num" val="0"/>
        <cfvo type="num" val="1"/>
        <color rgb="FFFFFFFF"/>
        <color rgb="FF57BB8A"/>
      </colorScale>
    </cfRule>
  </conditionalFormatting>
  <conditionalFormatting sqref="K28:U28">
    <cfRule type="colorScale" priority="1546">
      <colorScale>
        <cfvo type="num" val="0"/>
        <cfvo type="num" val="1"/>
        <color rgb="FFFFFFFF"/>
        <color rgb="FF57BB8A"/>
      </colorScale>
    </cfRule>
  </conditionalFormatting>
  <conditionalFormatting sqref="K29:U29">
    <cfRule type="colorScale" priority="1545">
      <colorScale>
        <cfvo type="num" val="0"/>
        <cfvo type="num" val="1"/>
        <color rgb="FFFFFFFF"/>
        <color rgb="FF57BB8A"/>
      </colorScale>
    </cfRule>
  </conditionalFormatting>
  <conditionalFormatting sqref="K30:U30">
    <cfRule type="colorScale" priority="1544">
      <colorScale>
        <cfvo type="num" val="0"/>
        <cfvo type="num" val="1"/>
        <color rgb="FFFFFFFF"/>
        <color rgb="FF57BB8A"/>
      </colorScale>
    </cfRule>
  </conditionalFormatting>
  <conditionalFormatting sqref="K31:U31">
    <cfRule type="colorScale" priority="1543">
      <colorScale>
        <cfvo type="num" val="0"/>
        <cfvo type="num" val="1"/>
        <color rgb="FFFFFFFF"/>
        <color rgb="FF57BB8A"/>
      </colorScale>
    </cfRule>
  </conditionalFormatting>
  <conditionalFormatting sqref="K32:U32">
    <cfRule type="colorScale" priority="1542">
      <colorScale>
        <cfvo type="num" val="0"/>
        <cfvo type="num" val="1"/>
        <color rgb="FFFFFFFF"/>
        <color rgb="FF57BB8A"/>
      </colorScale>
    </cfRule>
  </conditionalFormatting>
  <conditionalFormatting sqref="K33:U33">
    <cfRule type="colorScale" priority="1541">
      <colorScale>
        <cfvo type="num" val="0"/>
        <cfvo type="num" val="1"/>
        <color rgb="FFFFFFFF"/>
        <color rgb="FF57BB8A"/>
      </colorScale>
    </cfRule>
  </conditionalFormatting>
  <conditionalFormatting sqref="K34:U34">
    <cfRule type="colorScale" priority="1540">
      <colorScale>
        <cfvo type="num" val="0"/>
        <cfvo type="num" val="1"/>
        <color rgb="FFFFFFFF"/>
        <color rgb="FF57BB8A"/>
      </colorScale>
    </cfRule>
  </conditionalFormatting>
  <conditionalFormatting sqref="K35:U35">
    <cfRule type="colorScale" priority="1539">
      <colorScale>
        <cfvo type="num" val="0"/>
        <cfvo type="num" val="1"/>
        <color rgb="FFFFFFFF"/>
        <color rgb="FF57BB8A"/>
      </colorScale>
    </cfRule>
  </conditionalFormatting>
  <conditionalFormatting sqref="K36:U36">
    <cfRule type="colorScale" priority="1538">
      <colorScale>
        <cfvo type="num" val="0"/>
        <cfvo type="num" val="1"/>
        <color rgb="FFFFFFFF"/>
        <color rgb="FF57BB8A"/>
      </colorScale>
    </cfRule>
  </conditionalFormatting>
  <conditionalFormatting sqref="K37:U37">
    <cfRule type="colorScale" priority="1537">
      <colorScale>
        <cfvo type="num" val="0"/>
        <cfvo type="num" val="1"/>
        <color rgb="FFFFFFFF"/>
        <color rgb="FF57BB8A"/>
      </colorScale>
    </cfRule>
  </conditionalFormatting>
  <conditionalFormatting sqref="K38:U38">
    <cfRule type="colorScale" priority="1536">
      <colorScale>
        <cfvo type="num" val="0"/>
        <cfvo type="num" val="1"/>
        <color rgb="FFFFFFFF"/>
        <color rgb="FF57BB8A"/>
      </colorScale>
    </cfRule>
  </conditionalFormatting>
  <conditionalFormatting sqref="K39:U39">
    <cfRule type="colorScale" priority="1535">
      <colorScale>
        <cfvo type="num" val="0"/>
        <cfvo type="num" val="1"/>
        <color rgb="FFFFFFFF"/>
        <color rgb="FF57BB8A"/>
      </colorScale>
    </cfRule>
  </conditionalFormatting>
  <conditionalFormatting sqref="K40:U40">
    <cfRule type="colorScale" priority="1534">
      <colorScale>
        <cfvo type="num" val="0"/>
        <cfvo type="num" val="1"/>
        <color rgb="FFFFFFFF"/>
        <color rgb="FF57BB8A"/>
      </colorScale>
    </cfRule>
  </conditionalFormatting>
  <conditionalFormatting sqref="K41:U41">
    <cfRule type="colorScale" priority="1533">
      <colorScale>
        <cfvo type="num" val="0"/>
        <cfvo type="num" val="1"/>
        <color rgb="FFFFFFFF"/>
        <color rgb="FF57BB8A"/>
      </colorScale>
    </cfRule>
  </conditionalFormatting>
  <conditionalFormatting sqref="K42:U42">
    <cfRule type="colorScale" priority="1532">
      <colorScale>
        <cfvo type="num" val="0"/>
        <cfvo type="num" val="1"/>
        <color rgb="FFFFFFFF"/>
        <color rgb="FF57BB8A"/>
      </colorScale>
    </cfRule>
  </conditionalFormatting>
  <conditionalFormatting sqref="K43:U43">
    <cfRule type="colorScale" priority="1531">
      <colorScale>
        <cfvo type="num" val="0"/>
        <cfvo type="num" val="1"/>
        <color rgb="FFFFFFFF"/>
        <color rgb="FF57BB8A"/>
      </colorScale>
    </cfRule>
  </conditionalFormatting>
  <conditionalFormatting sqref="K44:U44">
    <cfRule type="colorScale" priority="1530">
      <colorScale>
        <cfvo type="num" val="0"/>
        <cfvo type="num" val="1"/>
        <color rgb="FFFFFFFF"/>
        <color rgb="FF57BB8A"/>
      </colorScale>
    </cfRule>
  </conditionalFormatting>
  <conditionalFormatting sqref="K45:U45">
    <cfRule type="colorScale" priority="1529">
      <colorScale>
        <cfvo type="num" val="0"/>
        <cfvo type="num" val="1"/>
        <color rgb="FFFFFFFF"/>
        <color rgb="FF57BB8A"/>
      </colorScale>
    </cfRule>
  </conditionalFormatting>
  <conditionalFormatting sqref="K46:U46">
    <cfRule type="colorScale" priority="1528">
      <colorScale>
        <cfvo type="num" val="0"/>
        <cfvo type="num" val="1"/>
        <color rgb="FFFFFFFF"/>
        <color rgb="FF57BB8A"/>
      </colorScale>
    </cfRule>
  </conditionalFormatting>
  <conditionalFormatting sqref="K47:U47">
    <cfRule type="colorScale" priority="1527">
      <colorScale>
        <cfvo type="num" val="0"/>
        <cfvo type="num" val="1"/>
        <color rgb="FFFFFFFF"/>
        <color rgb="FF57BB8A"/>
      </colorScale>
    </cfRule>
  </conditionalFormatting>
  <conditionalFormatting sqref="K48:U48">
    <cfRule type="colorScale" priority="1526">
      <colorScale>
        <cfvo type="num" val="0"/>
        <cfvo type="num" val="1"/>
        <color rgb="FFFFFFFF"/>
        <color rgb="FF57BB8A"/>
      </colorScale>
    </cfRule>
  </conditionalFormatting>
  <conditionalFormatting sqref="K49:U49">
    <cfRule type="colorScale" priority="1525">
      <colorScale>
        <cfvo type="num" val="0"/>
        <cfvo type="num" val="1"/>
        <color rgb="FFFFFFFF"/>
        <color rgb="FF57BB8A"/>
      </colorScale>
    </cfRule>
  </conditionalFormatting>
  <conditionalFormatting sqref="K50:U50">
    <cfRule type="colorScale" priority="1524">
      <colorScale>
        <cfvo type="num" val="0"/>
        <cfvo type="num" val="1"/>
        <color rgb="FFFFFFFF"/>
        <color rgb="FF57BB8A"/>
      </colorScale>
    </cfRule>
  </conditionalFormatting>
  <conditionalFormatting sqref="K51:U51">
    <cfRule type="colorScale" priority="1523">
      <colorScale>
        <cfvo type="num" val="0"/>
        <cfvo type="num" val="1"/>
        <color rgb="FFFFFFFF"/>
        <color rgb="FF57BB8A"/>
      </colorScale>
    </cfRule>
  </conditionalFormatting>
  <conditionalFormatting sqref="K52:U52">
    <cfRule type="colorScale" priority="1522">
      <colorScale>
        <cfvo type="num" val="0"/>
        <cfvo type="num" val="1"/>
        <color rgb="FFFFFFFF"/>
        <color rgb="FF57BB8A"/>
      </colorScale>
    </cfRule>
  </conditionalFormatting>
  <conditionalFormatting sqref="K53:U53">
    <cfRule type="colorScale" priority="1520">
      <colorScale>
        <cfvo type="num" val="0"/>
        <cfvo type="num" val="1"/>
        <color rgb="FFFFFFFF"/>
        <color rgb="FF57BB8A"/>
      </colorScale>
    </cfRule>
  </conditionalFormatting>
  <conditionalFormatting sqref="K54:U54">
    <cfRule type="colorScale" priority="1519">
      <colorScale>
        <cfvo type="num" val="0"/>
        <cfvo type="num" val="1"/>
        <color rgb="FFFFFFFF"/>
        <color rgb="FF57BB8A"/>
      </colorScale>
    </cfRule>
  </conditionalFormatting>
  <conditionalFormatting sqref="K55:U55">
    <cfRule type="colorScale" priority="1518">
      <colorScale>
        <cfvo type="num" val="0"/>
        <cfvo type="num" val="1"/>
        <color rgb="FFFFFFFF"/>
        <color rgb="FF57BB8A"/>
      </colorScale>
    </cfRule>
  </conditionalFormatting>
  <conditionalFormatting sqref="K56:U56">
    <cfRule type="colorScale" priority="1517">
      <colorScale>
        <cfvo type="num" val="0"/>
        <cfvo type="num" val="1"/>
        <color rgb="FFFFFFFF"/>
        <color rgb="FF57BB8A"/>
      </colorScale>
    </cfRule>
  </conditionalFormatting>
  <conditionalFormatting sqref="K57:U57">
    <cfRule type="colorScale" priority="1516">
      <colorScale>
        <cfvo type="num" val="0"/>
        <cfvo type="num" val="1"/>
        <color rgb="FFFFFFFF"/>
        <color rgb="FF57BB8A"/>
      </colorScale>
    </cfRule>
  </conditionalFormatting>
  <conditionalFormatting sqref="K58:U58">
    <cfRule type="colorScale" priority="1515">
      <colorScale>
        <cfvo type="num" val="0"/>
        <cfvo type="num" val="1"/>
        <color rgb="FFFFFFFF"/>
        <color rgb="FF57BB8A"/>
      </colorScale>
    </cfRule>
  </conditionalFormatting>
  <conditionalFormatting sqref="K59:U59">
    <cfRule type="colorScale" priority="1514">
      <colorScale>
        <cfvo type="num" val="0"/>
        <cfvo type="num" val="1"/>
        <color rgb="FFFFFFFF"/>
        <color rgb="FF57BB8A"/>
      </colorScale>
    </cfRule>
  </conditionalFormatting>
  <conditionalFormatting sqref="K60:U60">
    <cfRule type="colorScale" priority="1513">
      <colorScale>
        <cfvo type="num" val="0"/>
        <cfvo type="num" val="1"/>
        <color rgb="FFFFFFFF"/>
        <color rgb="FF57BB8A"/>
      </colorScale>
    </cfRule>
  </conditionalFormatting>
  <conditionalFormatting sqref="K61:U61">
    <cfRule type="colorScale" priority="1512">
      <colorScale>
        <cfvo type="num" val="0"/>
        <cfvo type="num" val="1"/>
        <color rgb="FFFFFFFF"/>
        <color rgb="FF57BB8A"/>
      </colorScale>
    </cfRule>
  </conditionalFormatting>
  <conditionalFormatting sqref="K62:U62">
    <cfRule type="colorScale" priority="1511">
      <colorScale>
        <cfvo type="num" val="0"/>
        <cfvo type="num" val="1"/>
        <color rgb="FFFFFFFF"/>
        <color rgb="FF57BB8A"/>
      </colorScale>
    </cfRule>
  </conditionalFormatting>
  <conditionalFormatting sqref="K63:U63">
    <cfRule type="colorScale" priority="1510">
      <colorScale>
        <cfvo type="num" val="0"/>
        <cfvo type="num" val="1"/>
        <color rgb="FFFFFFFF"/>
        <color rgb="FF57BB8A"/>
      </colorScale>
    </cfRule>
  </conditionalFormatting>
  <conditionalFormatting sqref="K64:U64">
    <cfRule type="colorScale" priority="1509">
      <colorScale>
        <cfvo type="num" val="0"/>
        <cfvo type="num" val="1"/>
        <color rgb="FFFFFFFF"/>
        <color rgb="FF57BB8A"/>
      </colorScale>
    </cfRule>
  </conditionalFormatting>
  <conditionalFormatting sqref="K65:U65">
    <cfRule type="colorScale" priority="1508">
      <colorScale>
        <cfvo type="num" val="0"/>
        <cfvo type="num" val="1"/>
        <color rgb="FFFFFFFF"/>
        <color rgb="FF57BB8A"/>
      </colorScale>
    </cfRule>
  </conditionalFormatting>
  <conditionalFormatting sqref="K66:U66">
    <cfRule type="colorScale" priority="1507">
      <colorScale>
        <cfvo type="num" val="0"/>
        <cfvo type="num" val="1"/>
        <color rgb="FFFFFFFF"/>
        <color rgb="FF57BB8A"/>
      </colorScale>
    </cfRule>
  </conditionalFormatting>
  <conditionalFormatting sqref="K67:U67">
    <cfRule type="colorScale" priority="1506">
      <colorScale>
        <cfvo type="num" val="0"/>
        <cfvo type="num" val="1"/>
        <color rgb="FFFFFFFF"/>
        <color rgb="FF57BB8A"/>
      </colorScale>
    </cfRule>
  </conditionalFormatting>
  <conditionalFormatting sqref="K68:U68">
    <cfRule type="colorScale" priority="1505">
      <colorScale>
        <cfvo type="num" val="0"/>
        <cfvo type="num" val="1"/>
        <color rgb="FFFFFFFF"/>
        <color rgb="FF57BB8A"/>
      </colorScale>
    </cfRule>
  </conditionalFormatting>
  <conditionalFormatting sqref="K69:U69">
    <cfRule type="colorScale" priority="1504">
      <colorScale>
        <cfvo type="num" val="0"/>
        <cfvo type="num" val="1"/>
        <color rgb="FFFFFFFF"/>
        <color rgb="FF57BB8A"/>
      </colorScale>
    </cfRule>
  </conditionalFormatting>
  <conditionalFormatting sqref="K70:U70">
    <cfRule type="colorScale" priority="1503">
      <colorScale>
        <cfvo type="num" val="0"/>
        <cfvo type="num" val="1"/>
        <color rgb="FFFFFFFF"/>
        <color rgb="FF57BB8A"/>
      </colorScale>
    </cfRule>
  </conditionalFormatting>
  <conditionalFormatting sqref="K71:U71">
    <cfRule type="colorScale" priority="1502">
      <colorScale>
        <cfvo type="num" val="0"/>
        <cfvo type="num" val="1"/>
        <color rgb="FFFFFFFF"/>
        <color rgb="FF57BB8A"/>
      </colorScale>
    </cfRule>
  </conditionalFormatting>
  <conditionalFormatting sqref="K72:U72">
    <cfRule type="colorScale" priority="1501">
      <colorScale>
        <cfvo type="num" val="0"/>
        <cfvo type="num" val="1"/>
        <color rgb="FFFFFFFF"/>
        <color rgb="FF57BB8A"/>
      </colorScale>
    </cfRule>
  </conditionalFormatting>
  <conditionalFormatting sqref="K73:U73">
    <cfRule type="colorScale" priority="1500">
      <colorScale>
        <cfvo type="num" val="0"/>
        <cfvo type="num" val="1"/>
        <color rgb="FFFFFFFF"/>
        <color rgb="FF57BB8A"/>
      </colorScale>
    </cfRule>
  </conditionalFormatting>
  <conditionalFormatting sqref="K74:U74">
    <cfRule type="colorScale" priority="1499">
      <colorScale>
        <cfvo type="num" val="0"/>
        <cfvo type="num" val="1"/>
        <color rgb="FFFFFFFF"/>
        <color rgb="FF57BB8A"/>
      </colorScale>
    </cfRule>
  </conditionalFormatting>
  <conditionalFormatting sqref="K75:U75">
    <cfRule type="colorScale" priority="1498">
      <colorScale>
        <cfvo type="num" val="0"/>
        <cfvo type="num" val="1"/>
        <color rgb="FFFFFFFF"/>
        <color rgb="FF57BB8A"/>
      </colorScale>
    </cfRule>
  </conditionalFormatting>
  <conditionalFormatting sqref="K76:U76">
    <cfRule type="colorScale" priority="1497">
      <colorScale>
        <cfvo type="num" val="0"/>
        <cfvo type="num" val="1"/>
        <color rgb="FFFFFFFF"/>
        <color rgb="FF57BB8A"/>
      </colorScale>
    </cfRule>
  </conditionalFormatting>
  <conditionalFormatting sqref="K77:U77">
    <cfRule type="colorScale" priority="1496">
      <colorScale>
        <cfvo type="num" val="0"/>
        <cfvo type="num" val="1"/>
        <color rgb="FFFFFFFF"/>
        <color rgb="FF57BB8A"/>
      </colorScale>
    </cfRule>
  </conditionalFormatting>
  <conditionalFormatting sqref="K78:U78">
    <cfRule type="colorScale" priority="1495">
      <colorScale>
        <cfvo type="num" val="0"/>
        <cfvo type="num" val="1"/>
        <color rgb="FFFFFFFF"/>
        <color rgb="FF57BB8A"/>
      </colorScale>
    </cfRule>
  </conditionalFormatting>
  <conditionalFormatting sqref="K79:U79">
    <cfRule type="colorScale" priority="1494">
      <colorScale>
        <cfvo type="num" val="0"/>
        <cfvo type="num" val="1"/>
        <color rgb="FFFFFFFF"/>
        <color rgb="FF57BB8A"/>
      </colorScale>
    </cfRule>
  </conditionalFormatting>
  <conditionalFormatting sqref="K80:U80">
    <cfRule type="colorScale" priority="1493">
      <colorScale>
        <cfvo type="num" val="0"/>
        <cfvo type="num" val="1"/>
        <color rgb="FFFFFFFF"/>
        <color rgb="FF57BB8A"/>
      </colorScale>
    </cfRule>
  </conditionalFormatting>
  <conditionalFormatting sqref="K81:U81">
    <cfRule type="colorScale" priority="1492">
      <colorScale>
        <cfvo type="num" val="0"/>
        <cfvo type="num" val="1"/>
        <color rgb="FFFFFFFF"/>
        <color rgb="FF57BB8A"/>
      </colorScale>
    </cfRule>
  </conditionalFormatting>
  <conditionalFormatting sqref="K82:U82">
    <cfRule type="colorScale" priority="1491">
      <colorScale>
        <cfvo type="num" val="0"/>
        <cfvo type="num" val="1"/>
        <color rgb="FFFFFFFF"/>
        <color rgb="FF57BB8A"/>
      </colorScale>
    </cfRule>
  </conditionalFormatting>
  <conditionalFormatting sqref="K83:U83">
    <cfRule type="colorScale" priority="1490">
      <colorScale>
        <cfvo type="num" val="0"/>
        <cfvo type="num" val="1"/>
        <color rgb="FFFFFFFF"/>
        <color rgb="FF57BB8A"/>
      </colorScale>
    </cfRule>
  </conditionalFormatting>
  <conditionalFormatting sqref="K84:U84">
    <cfRule type="colorScale" priority="1488">
      <colorScale>
        <cfvo type="num" val="0"/>
        <cfvo type="num" val="1"/>
        <color rgb="FFFFFFFF"/>
        <color rgb="FF57BB8A"/>
      </colorScale>
    </cfRule>
  </conditionalFormatting>
  <conditionalFormatting sqref="K85:U85">
    <cfRule type="colorScale" priority="1487">
      <colorScale>
        <cfvo type="num" val="0"/>
        <cfvo type="num" val="1"/>
        <color rgb="FFFFFFFF"/>
        <color rgb="FF57BB8A"/>
      </colorScale>
    </cfRule>
  </conditionalFormatting>
  <conditionalFormatting sqref="K86:U86">
    <cfRule type="colorScale" priority="1486">
      <colorScale>
        <cfvo type="num" val="0"/>
        <cfvo type="num" val="1"/>
        <color rgb="FFFFFFFF"/>
        <color rgb="FF57BB8A"/>
      </colorScale>
    </cfRule>
  </conditionalFormatting>
  <conditionalFormatting sqref="K87:U87">
    <cfRule type="colorScale" priority="1485">
      <colorScale>
        <cfvo type="num" val="0"/>
        <cfvo type="num" val="1"/>
        <color rgb="FFFFFFFF"/>
        <color rgb="FF57BB8A"/>
      </colorScale>
    </cfRule>
  </conditionalFormatting>
  <conditionalFormatting sqref="K88:U88">
    <cfRule type="colorScale" priority="1484">
      <colorScale>
        <cfvo type="num" val="0"/>
        <cfvo type="num" val="1"/>
        <color rgb="FFFFFFFF"/>
        <color rgb="FF57BB8A"/>
      </colorScale>
    </cfRule>
  </conditionalFormatting>
  <conditionalFormatting sqref="K89:U89">
    <cfRule type="colorScale" priority="1483">
      <colorScale>
        <cfvo type="num" val="0"/>
        <cfvo type="num" val="1"/>
        <color rgb="FFFFFFFF"/>
        <color rgb="FF57BB8A"/>
      </colorScale>
    </cfRule>
  </conditionalFormatting>
  <conditionalFormatting sqref="K90:U90">
    <cfRule type="colorScale" priority="1482">
      <colorScale>
        <cfvo type="num" val="0"/>
        <cfvo type="num" val="1"/>
        <color rgb="FFFFFFFF"/>
        <color rgb="FF57BB8A"/>
      </colorScale>
    </cfRule>
  </conditionalFormatting>
  <conditionalFormatting sqref="K91:U91">
    <cfRule type="colorScale" priority="1481">
      <colorScale>
        <cfvo type="num" val="0"/>
        <cfvo type="num" val="1"/>
        <color rgb="FFFFFFFF"/>
        <color rgb="FF57BB8A"/>
      </colorScale>
    </cfRule>
  </conditionalFormatting>
  <conditionalFormatting sqref="K92:U92">
    <cfRule type="colorScale" priority="1480">
      <colorScale>
        <cfvo type="num" val="0"/>
        <cfvo type="num" val="1"/>
        <color rgb="FFFFFFFF"/>
        <color rgb="FF57BB8A"/>
      </colorScale>
    </cfRule>
  </conditionalFormatting>
  <conditionalFormatting sqref="K93:U93">
    <cfRule type="colorScale" priority="1479">
      <colorScale>
        <cfvo type="num" val="0"/>
        <cfvo type="num" val="1"/>
        <color rgb="FFFFFFFF"/>
        <color rgb="FF57BB8A"/>
      </colorScale>
    </cfRule>
  </conditionalFormatting>
  <conditionalFormatting sqref="K94:U94">
    <cfRule type="colorScale" priority="1478">
      <colorScale>
        <cfvo type="num" val="0"/>
        <cfvo type="num" val="1"/>
        <color rgb="FFFFFFFF"/>
        <color rgb="FF57BB8A"/>
      </colorScale>
    </cfRule>
  </conditionalFormatting>
  <conditionalFormatting sqref="K95:U95">
    <cfRule type="colorScale" priority="1477">
      <colorScale>
        <cfvo type="num" val="0"/>
        <cfvo type="num" val="1"/>
        <color rgb="FFFFFFFF"/>
        <color rgb="FF57BB8A"/>
      </colorScale>
    </cfRule>
  </conditionalFormatting>
  <conditionalFormatting sqref="K96:U96">
    <cfRule type="colorScale" priority="1476">
      <colorScale>
        <cfvo type="num" val="0"/>
        <cfvo type="num" val="1"/>
        <color rgb="FFFFFFFF"/>
        <color rgb="FF57BB8A"/>
      </colorScale>
    </cfRule>
  </conditionalFormatting>
  <conditionalFormatting sqref="K97:U97">
    <cfRule type="colorScale" priority="1475">
      <colorScale>
        <cfvo type="num" val="0"/>
        <cfvo type="num" val="1"/>
        <color rgb="FFFFFFFF"/>
        <color rgb="FF57BB8A"/>
      </colorScale>
    </cfRule>
  </conditionalFormatting>
  <conditionalFormatting sqref="K98:U98">
    <cfRule type="colorScale" priority="1474">
      <colorScale>
        <cfvo type="num" val="0"/>
        <cfvo type="num" val="1"/>
        <color rgb="FFFFFFFF"/>
        <color rgb="FF57BB8A"/>
      </colorScale>
    </cfRule>
  </conditionalFormatting>
  <conditionalFormatting sqref="K99:U99">
    <cfRule type="colorScale" priority="1473">
      <colorScale>
        <cfvo type="num" val="0"/>
        <cfvo type="num" val="1"/>
        <color rgb="FFFFFFFF"/>
        <color rgb="FF57BB8A"/>
      </colorScale>
    </cfRule>
  </conditionalFormatting>
  <conditionalFormatting sqref="K100:U100">
    <cfRule type="colorScale" priority="1472">
      <colorScale>
        <cfvo type="num" val="0"/>
        <cfvo type="num" val="1"/>
        <color rgb="FFFFFFFF"/>
        <color rgb="FF57BB8A"/>
      </colorScale>
    </cfRule>
  </conditionalFormatting>
  <conditionalFormatting sqref="K101:U101">
    <cfRule type="colorScale" priority="1471">
      <colorScale>
        <cfvo type="num" val="0"/>
        <cfvo type="num" val="1"/>
        <color rgb="FFFFFFFF"/>
        <color rgb="FF57BB8A"/>
      </colorScale>
    </cfRule>
  </conditionalFormatting>
  <conditionalFormatting sqref="K102:U102">
    <cfRule type="colorScale" priority="1470">
      <colorScale>
        <cfvo type="num" val="0"/>
        <cfvo type="num" val="1"/>
        <color rgb="FFFFFFFF"/>
        <color rgb="FF57BB8A"/>
      </colorScale>
    </cfRule>
  </conditionalFormatting>
  <conditionalFormatting sqref="K103:U103">
    <cfRule type="colorScale" priority="1469">
      <colorScale>
        <cfvo type="num" val="0"/>
        <cfvo type="num" val="1"/>
        <color rgb="FFFFFFFF"/>
        <color rgb="FF57BB8A"/>
      </colorScale>
    </cfRule>
  </conditionalFormatting>
  <conditionalFormatting sqref="K104:U104">
    <cfRule type="colorScale" priority="1468">
      <colorScale>
        <cfvo type="num" val="0"/>
        <cfvo type="num" val="1"/>
        <color rgb="FFFFFFFF"/>
        <color rgb="FF57BB8A"/>
      </colorScale>
    </cfRule>
  </conditionalFormatting>
  <conditionalFormatting sqref="K105:U105">
    <cfRule type="colorScale" priority="1467">
      <colorScale>
        <cfvo type="num" val="0"/>
        <cfvo type="num" val="1"/>
        <color rgb="FFFFFFFF"/>
        <color rgb="FF57BB8A"/>
      </colorScale>
    </cfRule>
  </conditionalFormatting>
  <conditionalFormatting sqref="K106:U106">
    <cfRule type="colorScale" priority="1466">
      <colorScale>
        <cfvo type="num" val="0"/>
        <cfvo type="num" val="1"/>
        <color rgb="FFFFFFFF"/>
        <color rgb="FF57BB8A"/>
      </colorScale>
    </cfRule>
  </conditionalFormatting>
  <conditionalFormatting sqref="K107:U107">
    <cfRule type="colorScale" priority="1465">
      <colorScale>
        <cfvo type="num" val="0"/>
        <cfvo type="num" val="1"/>
        <color rgb="FFFFFFFF"/>
        <color rgb="FF57BB8A"/>
      </colorScale>
    </cfRule>
  </conditionalFormatting>
  <conditionalFormatting sqref="K108:U108">
    <cfRule type="colorScale" priority="1464">
      <colorScale>
        <cfvo type="num" val="0"/>
        <cfvo type="num" val="1"/>
        <color rgb="FFFFFFFF"/>
        <color rgb="FF57BB8A"/>
      </colorScale>
    </cfRule>
  </conditionalFormatting>
  <conditionalFormatting sqref="K109:U109">
    <cfRule type="colorScale" priority="1463">
      <colorScale>
        <cfvo type="num" val="0"/>
        <cfvo type="num" val="1"/>
        <color rgb="FFFFFFFF"/>
        <color rgb="FF57BB8A"/>
      </colorScale>
    </cfRule>
  </conditionalFormatting>
  <conditionalFormatting sqref="K110:U110">
    <cfRule type="colorScale" priority="1462">
      <colorScale>
        <cfvo type="num" val="0"/>
        <cfvo type="num" val="1"/>
        <color rgb="FFFFFFFF"/>
        <color rgb="FF57BB8A"/>
      </colorScale>
    </cfRule>
  </conditionalFormatting>
  <conditionalFormatting sqref="K111:U111">
    <cfRule type="colorScale" priority="1461">
      <colorScale>
        <cfvo type="num" val="0"/>
        <cfvo type="num" val="1"/>
        <color rgb="FFFFFFFF"/>
        <color rgb="FF57BB8A"/>
      </colorScale>
    </cfRule>
  </conditionalFormatting>
  <conditionalFormatting sqref="K112:U112">
    <cfRule type="colorScale" priority="1460">
      <colorScale>
        <cfvo type="num" val="0"/>
        <cfvo type="num" val="1"/>
        <color rgb="FFFFFFFF"/>
        <color rgb="FF57BB8A"/>
      </colorScale>
    </cfRule>
  </conditionalFormatting>
  <conditionalFormatting sqref="K113:U113">
    <cfRule type="colorScale" priority="1459">
      <colorScale>
        <cfvo type="num" val="0"/>
        <cfvo type="num" val="1"/>
        <color rgb="FFFFFFFF"/>
        <color rgb="FF57BB8A"/>
      </colorScale>
    </cfRule>
  </conditionalFormatting>
  <conditionalFormatting sqref="K114:U114">
    <cfRule type="colorScale" priority="1458">
      <colorScale>
        <cfvo type="num" val="0"/>
        <cfvo type="num" val="1"/>
        <color rgb="FFFFFFFF"/>
        <color rgb="FF57BB8A"/>
      </colorScale>
    </cfRule>
  </conditionalFormatting>
  <conditionalFormatting sqref="K115:U115">
    <cfRule type="colorScale" priority="1456">
      <colorScale>
        <cfvo type="num" val="0"/>
        <cfvo type="num" val="1"/>
        <color rgb="FFFFFFFF"/>
        <color rgb="FF57BB8A"/>
      </colorScale>
    </cfRule>
  </conditionalFormatting>
  <conditionalFormatting sqref="K116:U116">
    <cfRule type="colorScale" priority="1455">
      <colorScale>
        <cfvo type="num" val="0"/>
        <cfvo type="num" val="1"/>
        <color rgb="FFFFFFFF"/>
        <color rgb="FF57BB8A"/>
      </colorScale>
    </cfRule>
  </conditionalFormatting>
  <conditionalFormatting sqref="K117:U117">
    <cfRule type="colorScale" priority="1454">
      <colorScale>
        <cfvo type="num" val="0"/>
        <cfvo type="num" val="1"/>
        <color rgb="FFFFFFFF"/>
        <color rgb="FF57BB8A"/>
      </colorScale>
    </cfRule>
  </conditionalFormatting>
  <conditionalFormatting sqref="K118:U118">
    <cfRule type="colorScale" priority="1453">
      <colorScale>
        <cfvo type="num" val="0"/>
        <cfvo type="num" val="1"/>
        <color rgb="FFFFFFFF"/>
        <color rgb="FF57BB8A"/>
      </colorScale>
    </cfRule>
  </conditionalFormatting>
  <conditionalFormatting sqref="K119:U119">
    <cfRule type="colorScale" priority="1452">
      <colorScale>
        <cfvo type="num" val="0"/>
        <cfvo type="num" val="1"/>
        <color rgb="FFFFFFFF"/>
        <color rgb="FF57BB8A"/>
      </colorScale>
    </cfRule>
  </conditionalFormatting>
  <conditionalFormatting sqref="K120:U120">
    <cfRule type="colorScale" priority="1451">
      <colorScale>
        <cfvo type="num" val="0"/>
        <cfvo type="num" val="1"/>
        <color rgb="FFFFFFFF"/>
        <color rgb="FF57BB8A"/>
      </colorScale>
    </cfRule>
  </conditionalFormatting>
  <conditionalFormatting sqref="K121:U121">
    <cfRule type="colorScale" priority="1450">
      <colorScale>
        <cfvo type="num" val="0"/>
        <cfvo type="num" val="1"/>
        <color rgb="FFFFFFFF"/>
        <color rgb="FF57BB8A"/>
      </colorScale>
    </cfRule>
  </conditionalFormatting>
  <conditionalFormatting sqref="K122:U122">
    <cfRule type="colorScale" priority="1449">
      <colorScale>
        <cfvo type="num" val="0"/>
        <cfvo type="num" val="1"/>
        <color rgb="FFFFFFFF"/>
        <color rgb="FF57BB8A"/>
      </colorScale>
    </cfRule>
  </conditionalFormatting>
  <conditionalFormatting sqref="K123:U123">
    <cfRule type="colorScale" priority="1448">
      <colorScale>
        <cfvo type="num" val="0"/>
        <cfvo type="num" val="1"/>
        <color rgb="FFFFFFFF"/>
        <color rgb="FF57BB8A"/>
      </colorScale>
    </cfRule>
  </conditionalFormatting>
  <conditionalFormatting sqref="K124:U124">
    <cfRule type="colorScale" priority="1447">
      <colorScale>
        <cfvo type="num" val="0"/>
        <cfvo type="num" val="1"/>
        <color rgb="FFFFFFFF"/>
        <color rgb="FF57BB8A"/>
      </colorScale>
    </cfRule>
  </conditionalFormatting>
  <conditionalFormatting sqref="K125:U125">
    <cfRule type="colorScale" priority="1446">
      <colorScale>
        <cfvo type="num" val="0"/>
        <cfvo type="num" val="1"/>
        <color rgb="FFFFFFFF"/>
        <color rgb="FF57BB8A"/>
      </colorScale>
    </cfRule>
  </conditionalFormatting>
  <conditionalFormatting sqref="K126:U126">
    <cfRule type="colorScale" priority="1445">
      <colorScale>
        <cfvo type="num" val="0"/>
        <cfvo type="num" val="1"/>
        <color rgb="FFFFFFFF"/>
        <color rgb="FF57BB8A"/>
      </colorScale>
    </cfRule>
  </conditionalFormatting>
  <conditionalFormatting sqref="K127:U127">
    <cfRule type="colorScale" priority="1444">
      <colorScale>
        <cfvo type="num" val="0"/>
        <cfvo type="num" val="1"/>
        <color rgb="FFFFFFFF"/>
        <color rgb="FF57BB8A"/>
      </colorScale>
    </cfRule>
  </conditionalFormatting>
  <conditionalFormatting sqref="K128:U128">
    <cfRule type="colorScale" priority="1443">
      <colorScale>
        <cfvo type="num" val="0"/>
        <cfvo type="num" val="1"/>
        <color rgb="FFFFFFFF"/>
        <color rgb="FF57BB8A"/>
      </colorScale>
    </cfRule>
  </conditionalFormatting>
  <conditionalFormatting sqref="K129:U129">
    <cfRule type="colorScale" priority="1442">
      <colorScale>
        <cfvo type="num" val="0"/>
        <cfvo type="num" val="1"/>
        <color rgb="FFFFFFFF"/>
        <color rgb="FF57BB8A"/>
      </colorScale>
    </cfRule>
  </conditionalFormatting>
  <conditionalFormatting sqref="K130:U130">
    <cfRule type="colorScale" priority="1441">
      <colorScale>
        <cfvo type="num" val="0"/>
        <cfvo type="num" val="1"/>
        <color rgb="FFFFFFFF"/>
        <color rgb="FF57BB8A"/>
      </colorScale>
    </cfRule>
  </conditionalFormatting>
  <conditionalFormatting sqref="K131:U131">
    <cfRule type="colorScale" priority="1440">
      <colorScale>
        <cfvo type="num" val="0"/>
        <cfvo type="num" val="1"/>
        <color rgb="FFFFFFFF"/>
        <color rgb="FF57BB8A"/>
      </colorScale>
    </cfRule>
  </conditionalFormatting>
  <conditionalFormatting sqref="K132:U132">
    <cfRule type="colorScale" priority="1439">
      <colorScale>
        <cfvo type="num" val="0"/>
        <cfvo type="num" val="1"/>
        <color rgb="FFFFFFFF"/>
        <color rgb="FF57BB8A"/>
      </colorScale>
    </cfRule>
  </conditionalFormatting>
  <conditionalFormatting sqref="K133:U133">
    <cfRule type="colorScale" priority="1438">
      <colorScale>
        <cfvo type="num" val="0"/>
        <cfvo type="num" val="1"/>
        <color rgb="FFFFFFFF"/>
        <color rgb="FF57BB8A"/>
      </colorScale>
    </cfRule>
  </conditionalFormatting>
  <conditionalFormatting sqref="K134:U134">
    <cfRule type="colorScale" priority="1437">
      <colorScale>
        <cfvo type="num" val="0"/>
        <cfvo type="num" val="1"/>
        <color rgb="FFFFFFFF"/>
        <color rgb="FF57BB8A"/>
      </colorScale>
    </cfRule>
  </conditionalFormatting>
  <conditionalFormatting sqref="K135:U135">
    <cfRule type="colorScale" priority="1436">
      <colorScale>
        <cfvo type="num" val="0"/>
        <cfvo type="num" val="1"/>
        <color rgb="FFFFFFFF"/>
        <color rgb="FF57BB8A"/>
      </colorScale>
    </cfRule>
  </conditionalFormatting>
  <conditionalFormatting sqref="K136:U136">
    <cfRule type="colorScale" priority="1435">
      <colorScale>
        <cfvo type="num" val="0"/>
        <cfvo type="num" val="1"/>
        <color rgb="FFFFFFFF"/>
        <color rgb="FF57BB8A"/>
      </colorScale>
    </cfRule>
  </conditionalFormatting>
  <conditionalFormatting sqref="K137:U137">
    <cfRule type="colorScale" priority="1434">
      <colorScale>
        <cfvo type="num" val="0"/>
        <cfvo type="num" val="1"/>
        <color rgb="FFFFFFFF"/>
        <color rgb="FF57BB8A"/>
      </colorScale>
    </cfRule>
  </conditionalFormatting>
  <conditionalFormatting sqref="F5:F9">
    <cfRule type="expression" dxfId="782" priority="1693">
      <formula>($H5 = "완료")</formula>
    </cfRule>
    <cfRule type="expression" dxfId="781" priority="1695">
      <formula>AND(NOT(ISBLANK($F5)), OR($F5 &lt; TODAY(), $F5 &gt; DATE(YEAR(TODAY()),7, 26)))</formula>
    </cfRule>
    <cfRule type="expression" dxfId="780" priority="1697">
      <formula>AND(NOT(ISBLANK($F5)), $F5 &gt;= TODAY(), $F5 &lt; DATE(YEAR(TODAY()),7, 26), OR($H5 = "진행중", $H5 = "예정"))</formula>
    </cfRule>
  </conditionalFormatting>
  <conditionalFormatting sqref="F10">
    <cfRule type="expression" dxfId="779" priority="1428">
      <formula>($H10 = "완료")</formula>
    </cfRule>
    <cfRule type="expression" dxfId="778" priority="1429">
      <formula>AND(NOT(ISBLANK($F10)), OR($F10 &lt; TODAY(), $F10 &gt; DATE(YEAR(TODAY()),8, 21)))</formula>
    </cfRule>
    <cfRule type="expression" dxfId="777" priority="1430">
      <formula>AND(NOT(ISBLANK($F10)), $F10 &gt;= TODAY(), $F10 &lt; DATE(YEAR(TODAY()),8, 21), OR($H10 = "진행중", $H10 = "예정"))</formula>
    </cfRule>
  </conditionalFormatting>
  <conditionalFormatting sqref="F11">
    <cfRule type="expression" dxfId="776" priority="1425">
      <formula>($H11 = "완료")</formula>
    </cfRule>
    <cfRule type="expression" dxfId="775" priority="1426">
      <formula>AND(NOT(ISBLANK($F11)), OR($F11 &lt; TODAY(), $F11 &gt; DATE(YEAR(TODAY()),8, 21)))</formula>
    </cfRule>
    <cfRule type="expression" dxfId="774" priority="1427">
      <formula>AND(NOT(ISBLANK($F11)), $F11 &gt;= TODAY(), $F11 &lt; DATE(YEAR(TODAY()),8, 21), OR($H11 = "진행중", $H11 = "예정"))</formula>
    </cfRule>
  </conditionalFormatting>
  <conditionalFormatting sqref="F12">
    <cfRule type="expression" dxfId="773" priority="1422">
      <formula>($H12 = "완료")</formula>
    </cfRule>
    <cfRule type="expression" dxfId="772" priority="1423">
      <formula>AND(NOT(ISBLANK($F12)), OR($F12 &lt; TODAY(), $F12 &gt; DATE(YEAR(TODAY()),8, 21)))</formula>
    </cfRule>
    <cfRule type="expression" dxfId="771" priority="1424">
      <formula>AND(NOT(ISBLANK($F12)), $F12 &gt;= TODAY(), $F12 &lt; DATE(YEAR(TODAY()),8, 21), OR($H12 = "진행중", $H12 = "예정"))</formula>
    </cfRule>
  </conditionalFormatting>
  <conditionalFormatting sqref="F13">
    <cfRule type="expression" dxfId="770" priority="1419">
      <formula>($H13 = "완료")</formula>
    </cfRule>
    <cfRule type="expression" dxfId="769" priority="1420">
      <formula>AND(NOT(ISBLANK($F13)), OR($F13 &lt; TODAY(), $F13 &gt; DATE(YEAR(TODAY()),8, 21)))</formula>
    </cfRule>
    <cfRule type="expression" dxfId="768" priority="1421">
      <formula>AND(NOT(ISBLANK($F13)), $F13 &gt;= TODAY(), $F13 &lt; DATE(YEAR(TODAY()),8, 21), OR($H13 = "진행중", $H13 = "예정"))</formula>
    </cfRule>
  </conditionalFormatting>
  <conditionalFormatting sqref="F14">
    <cfRule type="expression" dxfId="767" priority="1416">
      <formula>($H14 = "완료")</formula>
    </cfRule>
    <cfRule type="expression" dxfId="766" priority="1417">
      <formula>AND(NOT(ISBLANK($F14)), OR($F14 &lt; TODAY(), $F14 &gt; DATE(YEAR(TODAY()),8, 21)))</formula>
    </cfRule>
    <cfRule type="expression" dxfId="765" priority="1418">
      <formula>AND(NOT(ISBLANK($F14)), $F14 &gt;= TODAY(), $F14 &lt; DATE(YEAR(TODAY()),8, 21), OR($H14 = "진행중", $H14 = "예정"))</formula>
    </cfRule>
  </conditionalFormatting>
  <conditionalFormatting sqref="F15">
    <cfRule type="expression" dxfId="764" priority="1413">
      <formula>($H15 = "완료")</formula>
    </cfRule>
    <cfRule type="expression" dxfId="763" priority="1414">
      <formula>AND(NOT(ISBLANK($F15)), OR($F15 &lt; TODAY(), $F15 &gt; DATE(YEAR(TODAY()),8, 21)))</formula>
    </cfRule>
    <cfRule type="expression" dxfId="762" priority="1415">
      <formula>AND(NOT(ISBLANK($F15)), $F15 &gt;= TODAY(), $F15 &lt; DATE(YEAR(TODAY()),8, 21), OR($H15 = "진행중", $H15 = "예정"))</formula>
    </cfRule>
  </conditionalFormatting>
  <conditionalFormatting sqref="F16">
    <cfRule type="expression" dxfId="761" priority="1410">
      <formula>($H16 = "완료")</formula>
    </cfRule>
    <cfRule type="expression" dxfId="760" priority="1411">
      <formula>AND(NOT(ISBLANK($F16)), OR($F16 &lt; TODAY(), $F16 &gt; DATE(YEAR(TODAY()),8, 21)))</formula>
    </cfRule>
    <cfRule type="expression" dxfId="759" priority="1412">
      <formula>AND(NOT(ISBLANK($F16)), $F16 &gt;= TODAY(), $F16 &lt; DATE(YEAR(TODAY()),8, 21), OR($H16 = "진행중", $H16 = "예정"))</formula>
    </cfRule>
  </conditionalFormatting>
  <conditionalFormatting sqref="F17">
    <cfRule type="expression" dxfId="758" priority="1407">
      <formula>($H17 = "완료")</formula>
    </cfRule>
    <cfRule type="expression" dxfId="757" priority="1408">
      <formula>AND(NOT(ISBLANK($F17)), OR($F17 &lt; TODAY(), $F17 &gt; DATE(YEAR(TODAY()),8, 21)))</formula>
    </cfRule>
    <cfRule type="expression" dxfId="756" priority="1409">
      <formula>AND(NOT(ISBLANK($F17)), $F17 &gt;= TODAY(), $F17 &lt; DATE(YEAR(TODAY()),8, 21), OR($H17 = "진행중", $H17 = "예정"))</formula>
    </cfRule>
  </conditionalFormatting>
  <conditionalFormatting sqref="F18">
    <cfRule type="expression" dxfId="755" priority="1404">
      <formula>($H18 = "완료")</formula>
    </cfRule>
    <cfRule type="expression" dxfId="754" priority="1405">
      <formula>AND(NOT(ISBLANK($F18)), OR($F18 &lt; TODAY(), $F18 &gt; DATE(YEAR(TODAY()),8, 21)))</formula>
    </cfRule>
    <cfRule type="expression" dxfId="753" priority="1406">
      <formula>AND(NOT(ISBLANK($F18)), $F18 &gt;= TODAY(), $F18 &lt; DATE(YEAR(TODAY()),8, 21), OR($H18 = "진행중", $H18 = "예정"))</formula>
    </cfRule>
  </conditionalFormatting>
  <conditionalFormatting sqref="F19">
    <cfRule type="expression" dxfId="752" priority="1401">
      <formula>($H19 = "완료")</formula>
    </cfRule>
    <cfRule type="expression" dxfId="751" priority="1402">
      <formula>AND(NOT(ISBLANK($F19)), OR($F19 &lt; TODAY(), $F19 &gt; DATE(YEAR(TODAY()),8, 21)))</formula>
    </cfRule>
    <cfRule type="expression" dxfId="750" priority="1403">
      <formula>AND(NOT(ISBLANK($F19)), $F19 &gt;= TODAY(), $F19 &lt; DATE(YEAR(TODAY()),8, 21), OR($H19 = "진행중", $H19 = "예정"))</formula>
    </cfRule>
  </conditionalFormatting>
  <conditionalFormatting sqref="F20">
    <cfRule type="expression" dxfId="749" priority="1398">
      <formula>($H20 = "완료")</formula>
    </cfRule>
    <cfRule type="expression" dxfId="748" priority="1399">
      <formula>AND(NOT(ISBLANK($F20)), OR($F20 &lt; TODAY(), $F20 &gt; DATE(YEAR(TODAY()),8, 21)))</formula>
    </cfRule>
    <cfRule type="expression" dxfId="747" priority="1400">
      <formula>AND(NOT(ISBLANK($F20)), $F20 &gt;= TODAY(), $F20 &lt; DATE(YEAR(TODAY()),8, 21), OR($H20 = "진행중", $H20 = "예정"))</formula>
    </cfRule>
  </conditionalFormatting>
  <conditionalFormatting sqref="F21">
    <cfRule type="expression" dxfId="746" priority="1395">
      <formula>($H21 = "완료")</formula>
    </cfRule>
    <cfRule type="expression" dxfId="745" priority="1396">
      <formula>AND(NOT(ISBLANK($F21)), OR($F21 &lt; TODAY(), $F21 &gt; DATE(YEAR(TODAY()),8, 21)))</formula>
    </cfRule>
    <cfRule type="expression" dxfId="744" priority="1397">
      <formula>AND(NOT(ISBLANK($F21)), $F21 &gt;= TODAY(), $F21 &lt; DATE(YEAR(TODAY()),8, 21), OR($H21 = "진행중", $H21 = "예정"))</formula>
    </cfRule>
  </conditionalFormatting>
  <conditionalFormatting sqref="F22">
    <cfRule type="expression" dxfId="743" priority="1392">
      <formula>($H22 = "완료")</formula>
    </cfRule>
    <cfRule type="expression" dxfId="742" priority="1393">
      <formula>AND(NOT(ISBLANK($F22)), OR($F22 &lt; TODAY(), $F22 &gt; DATE(YEAR(TODAY()),8, 21)))</formula>
    </cfRule>
    <cfRule type="expression" dxfId="741" priority="1394">
      <formula>AND(NOT(ISBLANK($F22)), $F22 &gt;= TODAY(), $F22 &lt; DATE(YEAR(TODAY()),8, 21), OR($H22 = "진행중", $H22 = "예정"))</formula>
    </cfRule>
  </conditionalFormatting>
  <conditionalFormatting sqref="F23">
    <cfRule type="expression" dxfId="740" priority="1386">
      <formula>($H23 = "완료")</formula>
    </cfRule>
    <cfRule type="expression" dxfId="739" priority="1387">
      <formula>AND(NOT(ISBLANK($F23)), OR($F23 &lt; TODAY(), $F23 &gt; DATE(YEAR(TODAY()),8, 21)))</formula>
    </cfRule>
    <cfRule type="expression" dxfId="738" priority="1388">
      <formula>AND(NOT(ISBLANK($F23)), $F23 &gt;= TODAY(), $F23 &lt; DATE(YEAR(TODAY()),8, 21), OR($H23 = "진행중", $H23 = "예정"))</formula>
    </cfRule>
  </conditionalFormatting>
  <conditionalFormatting sqref="F24">
    <cfRule type="expression" dxfId="737" priority="1383">
      <formula>($H24 = "완료")</formula>
    </cfRule>
    <cfRule type="expression" dxfId="736" priority="1384">
      <formula>AND(NOT(ISBLANK($F24)), OR($F24 &lt; TODAY(), $F24 &gt; DATE(YEAR(TODAY()),8, 21)))</formula>
    </cfRule>
    <cfRule type="expression" dxfId="735" priority="1385">
      <formula>AND(NOT(ISBLANK($F24)), $F24 &gt;= TODAY(), $F24 &lt; DATE(YEAR(TODAY()),8, 21), OR($H24 = "진행중", $H24 = "예정"))</formula>
    </cfRule>
  </conditionalFormatting>
  <conditionalFormatting sqref="F25">
    <cfRule type="expression" dxfId="734" priority="1380">
      <formula>($H25 = "완료")</formula>
    </cfRule>
    <cfRule type="expression" dxfId="733" priority="1381">
      <formula>AND(NOT(ISBLANK($F25)), OR($F25 &lt; TODAY(), $F25 &gt; DATE(YEAR(TODAY()),8, 21)))</formula>
    </cfRule>
    <cfRule type="expression" dxfId="732" priority="1382">
      <formula>AND(NOT(ISBLANK($F25)), $F25 &gt;= TODAY(), $F25 &lt; DATE(YEAR(TODAY()),8, 21), OR($H25 = "진행중", $H25 = "예정"))</formula>
    </cfRule>
  </conditionalFormatting>
  <conditionalFormatting sqref="F26">
    <cfRule type="expression" dxfId="731" priority="1374">
      <formula>($H26 = "완료")</formula>
    </cfRule>
    <cfRule type="expression" dxfId="730" priority="1375">
      <formula>AND(NOT(ISBLANK($F26)), OR($F26 &lt; TODAY(), $F26 &gt; DATE(YEAR(TODAY()),8, 21)))</formula>
    </cfRule>
    <cfRule type="expression" dxfId="729" priority="1376">
      <formula>AND(NOT(ISBLANK($F26)), $F26 &gt;= TODAY(), $F26 &lt; DATE(YEAR(TODAY()),8, 21), OR($H26 = "진행중", $H26 = "예정"))</formula>
    </cfRule>
  </conditionalFormatting>
  <conditionalFormatting sqref="F27">
    <cfRule type="expression" dxfId="728" priority="1371">
      <formula>($H27 = "완료")</formula>
    </cfRule>
    <cfRule type="expression" dxfId="727" priority="1372">
      <formula>AND(NOT(ISBLANK($F27)), OR($F27 &lt; TODAY(), $F27 &gt; DATE(YEAR(TODAY()),8, 21)))</formula>
    </cfRule>
    <cfRule type="expression" dxfId="726" priority="1373">
      <formula>AND(NOT(ISBLANK($F27)), $F27 &gt;= TODAY(), $F27 &lt; DATE(YEAR(TODAY()),8, 21), OR($H27 = "진행중", $H27 = "예정"))</formula>
    </cfRule>
  </conditionalFormatting>
  <conditionalFormatting sqref="F28">
    <cfRule type="expression" dxfId="725" priority="1368">
      <formula>($H28 = "완료")</formula>
    </cfRule>
    <cfRule type="expression" dxfId="724" priority="1369">
      <formula>AND(NOT(ISBLANK($F28)), OR($F28 &lt; TODAY(), $F28 &gt; DATE(YEAR(TODAY()),8, 21)))</formula>
    </cfRule>
    <cfRule type="expression" dxfId="723" priority="1370">
      <formula>AND(NOT(ISBLANK($F28)), $F28 &gt;= TODAY(), $F28 &lt; DATE(YEAR(TODAY()),8, 21), OR($H28 = "진행중", $H28 = "예정"))</formula>
    </cfRule>
  </conditionalFormatting>
  <conditionalFormatting sqref="F29">
    <cfRule type="expression" dxfId="722" priority="1365">
      <formula>($H29 = "완료")</formula>
    </cfRule>
    <cfRule type="expression" dxfId="721" priority="1366">
      <formula>AND(NOT(ISBLANK($F29)), OR($F29 &lt; TODAY(), $F29 &gt; DATE(YEAR(TODAY()),8, 21)))</formula>
    </cfRule>
    <cfRule type="expression" dxfId="720" priority="1367">
      <formula>AND(NOT(ISBLANK($F29)), $F29 &gt;= TODAY(), $F29 &lt; DATE(YEAR(TODAY()),8, 21), OR($H29 = "진행중", $H29 = "예정"))</formula>
    </cfRule>
  </conditionalFormatting>
  <conditionalFormatting sqref="F30">
    <cfRule type="expression" dxfId="719" priority="1362">
      <formula>($H30 = "완료")</formula>
    </cfRule>
    <cfRule type="expression" dxfId="718" priority="1363">
      <formula>AND(NOT(ISBLANK($F30)), OR($F30 &lt; TODAY(), $F30 &gt; DATE(YEAR(TODAY()),8, 21)))</formula>
    </cfRule>
    <cfRule type="expression" dxfId="717" priority="1364">
      <formula>AND(NOT(ISBLANK($F30)), $F30 &gt;= TODAY(), $F30 &lt; DATE(YEAR(TODAY()),8, 21), OR($H30 = "진행중", $H30 = "예정"))</formula>
    </cfRule>
  </conditionalFormatting>
  <conditionalFormatting sqref="F31">
    <cfRule type="expression" dxfId="716" priority="1359">
      <formula>($H31 = "완료")</formula>
    </cfRule>
    <cfRule type="expression" dxfId="715" priority="1360">
      <formula>AND(NOT(ISBLANK($F31)), OR($F31 &lt; TODAY(), $F31 &gt; DATE(YEAR(TODAY()),8, 21)))</formula>
    </cfRule>
    <cfRule type="expression" dxfId="714" priority="1361">
      <formula>AND(NOT(ISBLANK($F31)), $F31 &gt;= TODAY(), $F31 &lt; DATE(YEAR(TODAY()),8, 21), OR($H31 = "진행중", $H31 = "예정"))</formula>
    </cfRule>
  </conditionalFormatting>
  <conditionalFormatting sqref="F32">
    <cfRule type="expression" dxfId="713" priority="1356">
      <formula>($H32 = "완료")</formula>
    </cfRule>
    <cfRule type="expression" dxfId="712" priority="1357">
      <formula>AND(NOT(ISBLANK($F32)), OR($F32 &lt; TODAY(), $F32 &gt; DATE(YEAR(TODAY()),8, 21)))</formula>
    </cfRule>
    <cfRule type="expression" dxfId="711" priority="1358">
      <formula>AND(NOT(ISBLANK($F32)), $F32 &gt;= TODAY(), $F32 &lt; DATE(YEAR(TODAY()),8, 21), OR($H32 = "진행중", $H32 = "예정"))</formula>
    </cfRule>
  </conditionalFormatting>
  <conditionalFormatting sqref="F33">
    <cfRule type="expression" dxfId="710" priority="1353">
      <formula>($H33 = "완료")</formula>
    </cfRule>
    <cfRule type="expression" dxfId="709" priority="1354">
      <formula>AND(NOT(ISBLANK($F33)), OR($F33 &lt; TODAY(), $F33 &gt; DATE(YEAR(TODAY()),8, 21)))</formula>
    </cfRule>
    <cfRule type="expression" dxfId="708" priority="1355">
      <formula>AND(NOT(ISBLANK($F33)), $F33 &gt;= TODAY(), $F33 &lt; DATE(YEAR(TODAY()),8, 21), OR($H33 = "진행중", $H33 = "예정"))</formula>
    </cfRule>
  </conditionalFormatting>
  <conditionalFormatting sqref="F34">
    <cfRule type="expression" dxfId="707" priority="1350">
      <formula>($H34 = "완료")</formula>
    </cfRule>
    <cfRule type="expression" dxfId="706" priority="1351">
      <formula>AND(NOT(ISBLANK($F34)), OR($F34 &lt; TODAY(), $F34 &gt; DATE(YEAR(TODAY()),8, 21)))</formula>
    </cfRule>
    <cfRule type="expression" dxfId="705" priority="1352">
      <formula>AND(NOT(ISBLANK($F34)), $F34 &gt;= TODAY(), $F34 &lt; DATE(YEAR(TODAY()),8, 21), OR($H34 = "진행중", $H34 = "예정"))</formula>
    </cfRule>
  </conditionalFormatting>
  <conditionalFormatting sqref="F35">
    <cfRule type="expression" dxfId="704" priority="1347">
      <formula>($H35 = "완료")</formula>
    </cfRule>
    <cfRule type="expression" dxfId="703" priority="1348">
      <formula>AND(NOT(ISBLANK($F35)), OR($F35 &lt; TODAY(), $F35 &gt; DATE(YEAR(TODAY()),8, 21)))</formula>
    </cfRule>
    <cfRule type="expression" dxfId="702" priority="1349">
      <formula>AND(NOT(ISBLANK($F35)), $F35 &gt;= TODAY(), $F35 &lt; DATE(YEAR(TODAY()),8, 21), OR($H35 = "진행중", $H35 = "예정"))</formula>
    </cfRule>
  </conditionalFormatting>
  <conditionalFormatting sqref="F36">
    <cfRule type="expression" dxfId="701" priority="1344">
      <formula>($H36 = "완료")</formula>
    </cfRule>
    <cfRule type="expression" dxfId="700" priority="1345">
      <formula>AND(NOT(ISBLANK($F36)), OR($F36 &lt; TODAY(), $F36 &gt; DATE(YEAR(TODAY()),8, 21)))</formula>
    </cfRule>
    <cfRule type="expression" dxfId="699" priority="1346">
      <formula>AND(NOT(ISBLANK($F36)), $F36 &gt;= TODAY(), $F36 &lt; DATE(YEAR(TODAY()),8, 21), OR($H36 = "진행중", $H36 = "예정"))</formula>
    </cfRule>
  </conditionalFormatting>
  <conditionalFormatting sqref="F37">
    <cfRule type="expression" dxfId="698" priority="1341">
      <formula>($H37 = "완료")</formula>
    </cfRule>
    <cfRule type="expression" dxfId="697" priority="1342">
      <formula>AND(NOT(ISBLANK($F37)), OR($F37 &lt; TODAY(), $F37 &gt; DATE(YEAR(TODAY()),8, 21)))</formula>
    </cfRule>
    <cfRule type="expression" dxfId="696" priority="1343">
      <formula>AND(NOT(ISBLANK($F37)), $F37 &gt;= TODAY(), $F37 &lt; DATE(YEAR(TODAY()),8, 21), OR($H37 = "진행중", $H37 = "예정"))</formula>
    </cfRule>
  </conditionalFormatting>
  <conditionalFormatting sqref="F38">
    <cfRule type="expression" dxfId="695" priority="1338">
      <formula>($H38 = "완료")</formula>
    </cfRule>
    <cfRule type="expression" dxfId="694" priority="1339">
      <formula>AND(NOT(ISBLANK($F38)), OR($F38 &lt; TODAY(), $F38 &gt; DATE(YEAR(TODAY()),8, 21)))</formula>
    </cfRule>
    <cfRule type="expression" dxfId="693" priority="1340">
      <formula>AND(NOT(ISBLANK($F38)), $F38 &gt;= TODAY(), $F38 &lt; DATE(YEAR(TODAY()),8, 21), OR($H38 = "진행중", $H38 = "예정"))</formula>
    </cfRule>
  </conditionalFormatting>
  <conditionalFormatting sqref="F39">
    <cfRule type="expression" dxfId="692" priority="1335">
      <formula>($H39 = "완료")</formula>
    </cfRule>
    <cfRule type="expression" dxfId="691" priority="1336">
      <formula>AND(NOT(ISBLANK($F39)), OR($F39 &lt; TODAY(), $F39 &gt; DATE(YEAR(TODAY()),8, 21)))</formula>
    </cfRule>
    <cfRule type="expression" dxfId="690" priority="1337">
      <formula>AND(NOT(ISBLANK($F39)), $F39 &gt;= TODAY(), $F39 &lt; DATE(YEAR(TODAY()),8, 21), OR($H39 = "진행중", $H39 = "예정"))</formula>
    </cfRule>
  </conditionalFormatting>
  <conditionalFormatting sqref="G6">
    <cfRule type="colorScale" priority="1334">
      <colorScale>
        <cfvo type="num" val="0"/>
        <cfvo type="num" val="1"/>
        <color rgb="FFFFFFFF"/>
        <color rgb="FF57BB8A"/>
      </colorScale>
    </cfRule>
  </conditionalFormatting>
  <conditionalFormatting sqref="G7">
    <cfRule type="colorScale" priority="1333">
      <colorScale>
        <cfvo type="num" val="0"/>
        <cfvo type="num" val="1"/>
        <color rgb="FFFFFFFF"/>
        <color rgb="FF57BB8A"/>
      </colorScale>
    </cfRule>
  </conditionalFormatting>
  <conditionalFormatting sqref="G8">
    <cfRule type="colorScale" priority="1332">
      <colorScale>
        <cfvo type="num" val="0"/>
        <cfvo type="num" val="1"/>
        <color rgb="FFFFFFFF"/>
        <color rgb="FF57BB8A"/>
      </colorScale>
    </cfRule>
  </conditionalFormatting>
  <conditionalFormatting sqref="G9">
    <cfRule type="colorScale" priority="1331">
      <colorScale>
        <cfvo type="num" val="0"/>
        <cfvo type="num" val="1"/>
        <color rgb="FFFFFFFF"/>
        <color rgb="FF57BB8A"/>
      </colorScale>
    </cfRule>
  </conditionalFormatting>
  <conditionalFormatting sqref="G10">
    <cfRule type="colorScale" priority="1330">
      <colorScale>
        <cfvo type="num" val="0"/>
        <cfvo type="num" val="1"/>
        <color rgb="FFFFFFFF"/>
        <color rgb="FF57BB8A"/>
      </colorScale>
    </cfRule>
  </conditionalFormatting>
  <conditionalFormatting sqref="G11">
    <cfRule type="colorScale" priority="1329">
      <colorScale>
        <cfvo type="num" val="0"/>
        <cfvo type="num" val="1"/>
        <color rgb="FFFFFFFF"/>
        <color rgb="FF57BB8A"/>
      </colorScale>
    </cfRule>
  </conditionalFormatting>
  <conditionalFormatting sqref="G12">
    <cfRule type="colorScale" priority="1328">
      <colorScale>
        <cfvo type="num" val="0"/>
        <cfvo type="num" val="1"/>
        <color rgb="FFFFFFFF"/>
        <color rgb="FF57BB8A"/>
      </colorScale>
    </cfRule>
  </conditionalFormatting>
  <conditionalFormatting sqref="G13">
    <cfRule type="colorScale" priority="1327">
      <colorScale>
        <cfvo type="num" val="0"/>
        <cfvo type="num" val="1"/>
        <color rgb="FFFFFFFF"/>
        <color rgb="FF57BB8A"/>
      </colorScale>
    </cfRule>
  </conditionalFormatting>
  <conditionalFormatting sqref="G14">
    <cfRule type="colorScale" priority="1326">
      <colorScale>
        <cfvo type="num" val="0"/>
        <cfvo type="num" val="1"/>
        <color rgb="FFFFFFFF"/>
        <color rgb="FF57BB8A"/>
      </colorScale>
    </cfRule>
  </conditionalFormatting>
  <conditionalFormatting sqref="G15">
    <cfRule type="colorScale" priority="1325">
      <colorScale>
        <cfvo type="num" val="0"/>
        <cfvo type="num" val="1"/>
        <color rgb="FFFFFFFF"/>
        <color rgb="FF57BB8A"/>
      </colorScale>
    </cfRule>
  </conditionalFormatting>
  <conditionalFormatting sqref="G16">
    <cfRule type="colorScale" priority="1324">
      <colorScale>
        <cfvo type="num" val="0"/>
        <cfvo type="num" val="1"/>
        <color rgb="FFFFFFFF"/>
        <color rgb="FF57BB8A"/>
      </colorScale>
    </cfRule>
  </conditionalFormatting>
  <conditionalFormatting sqref="G17">
    <cfRule type="colorScale" priority="1323">
      <colorScale>
        <cfvo type="num" val="0"/>
        <cfvo type="num" val="1"/>
        <color rgb="FFFFFFFF"/>
        <color rgb="FF57BB8A"/>
      </colorScale>
    </cfRule>
  </conditionalFormatting>
  <conditionalFormatting sqref="G18">
    <cfRule type="colorScale" priority="1322">
      <colorScale>
        <cfvo type="num" val="0"/>
        <cfvo type="num" val="1"/>
        <color rgb="FFFFFFFF"/>
        <color rgb="FF57BB8A"/>
      </colorScale>
    </cfRule>
  </conditionalFormatting>
  <conditionalFormatting sqref="G19">
    <cfRule type="colorScale" priority="1321">
      <colorScale>
        <cfvo type="num" val="0"/>
        <cfvo type="num" val="1"/>
        <color rgb="FFFFFFFF"/>
        <color rgb="FF57BB8A"/>
      </colorScale>
    </cfRule>
  </conditionalFormatting>
  <conditionalFormatting sqref="G20">
    <cfRule type="colorScale" priority="1320">
      <colorScale>
        <cfvo type="num" val="0"/>
        <cfvo type="num" val="1"/>
        <color rgb="FFFFFFFF"/>
        <color rgb="FF57BB8A"/>
      </colorScale>
    </cfRule>
  </conditionalFormatting>
  <conditionalFormatting sqref="G21">
    <cfRule type="colorScale" priority="1319">
      <colorScale>
        <cfvo type="num" val="0"/>
        <cfvo type="num" val="1"/>
        <color rgb="FFFFFFFF"/>
        <color rgb="FF57BB8A"/>
      </colorScale>
    </cfRule>
  </conditionalFormatting>
  <conditionalFormatting sqref="G22">
    <cfRule type="colorScale" priority="1318">
      <colorScale>
        <cfvo type="num" val="0"/>
        <cfvo type="num" val="1"/>
        <color rgb="FFFFFFFF"/>
        <color rgb="FF57BB8A"/>
      </colorScale>
    </cfRule>
  </conditionalFormatting>
  <conditionalFormatting sqref="G23">
    <cfRule type="colorScale" priority="1316">
      <colorScale>
        <cfvo type="num" val="0"/>
        <cfvo type="num" val="1"/>
        <color rgb="FFFFFFFF"/>
        <color rgb="FF57BB8A"/>
      </colorScale>
    </cfRule>
  </conditionalFormatting>
  <conditionalFormatting sqref="G24">
    <cfRule type="colorScale" priority="1315">
      <colorScale>
        <cfvo type="num" val="0"/>
        <cfvo type="num" val="1"/>
        <color rgb="FFFFFFFF"/>
        <color rgb="FF57BB8A"/>
      </colorScale>
    </cfRule>
  </conditionalFormatting>
  <conditionalFormatting sqref="G25">
    <cfRule type="colorScale" priority="1314">
      <colorScale>
        <cfvo type="num" val="0"/>
        <cfvo type="num" val="1"/>
        <color rgb="FFFFFFFF"/>
        <color rgb="FF57BB8A"/>
      </colorScale>
    </cfRule>
  </conditionalFormatting>
  <conditionalFormatting sqref="G26">
    <cfRule type="colorScale" priority="1312">
      <colorScale>
        <cfvo type="num" val="0"/>
        <cfvo type="num" val="1"/>
        <color rgb="FFFFFFFF"/>
        <color rgb="FF57BB8A"/>
      </colorScale>
    </cfRule>
  </conditionalFormatting>
  <conditionalFormatting sqref="G27">
    <cfRule type="colorScale" priority="1311">
      <colorScale>
        <cfvo type="num" val="0"/>
        <cfvo type="num" val="1"/>
        <color rgb="FFFFFFFF"/>
        <color rgb="FF57BB8A"/>
      </colorScale>
    </cfRule>
  </conditionalFormatting>
  <conditionalFormatting sqref="G28">
    <cfRule type="colorScale" priority="1310">
      <colorScale>
        <cfvo type="num" val="0"/>
        <cfvo type="num" val="1"/>
        <color rgb="FFFFFFFF"/>
        <color rgb="FF57BB8A"/>
      </colorScale>
    </cfRule>
  </conditionalFormatting>
  <conditionalFormatting sqref="G29">
    <cfRule type="colorScale" priority="1309">
      <colorScale>
        <cfvo type="num" val="0"/>
        <cfvo type="num" val="1"/>
        <color rgb="FFFFFFFF"/>
        <color rgb="FF57BB8A"/>
      </colorScale>
    </cfRule>
  </conditionalFormatting>
  <conditionalFormatting sqref="G30">
    <cfRule type="colorScale" priority="1308">
      <colorScale>
        <cfvo type="num" val="0"/>
        <cfvo type="num" val="1"/>
        <color rgb="FFFFFFFF"/>
        <color rgb="FF57BB8A"/>
      </colorScale>
    </cfRule>
  </conditionalFormatting>
  <conditionalFormatting sqref="G31">
    <cfRule type="colorScale" priority="1307">
      <colorScale>
        <cfvo type="num" val="0"/>
        <cfvo type="num" val="1"/>
        <color rgb="FFFFFFFF"/>
        <color rgb="FF57BB8A"/>
      </colorScale>
    </cfRule>
  </conditionalFormatting>
  <conditionalFormatting sqref="G32">
    <cfRule type="colorScale" priority="1306">
      <colorScale>
        <cfvo type="num" val="0"/>
        <cfvo type="num" val="1"/>
        <color rgb="FFFFFFFF"/>
        <color rgb="FF57BB8A"/>
      </colorScale>
    </cfRule>
  </conditionalFormatting>
  <conditionalFormatting sqref="G33">
    <cfRule type="colorScale" priority="1305">
      <colorScale>
        <cfvo type="num" val="0"/>
        <cfvo type="num" val="1"/>
        <color rgb="FFFFFFFF"/>
        <color rgb="FF57BB8A"/>
      </colorScale>
    </cfRule>
  </conditionalFormatting>
  <conditionalFormatting sqref="G34">
    <cfRule type="colorScale" priority="1304">
      <colorScale>
        <cfvo type="num" val="0"/>
        <cfvo type="num" val="1"/>
        <color rgb="FFFFFFFF"/>
        <color rgb="FF57BB8A"/>
      </colorScale>
    </cfRule>
  </conditionalFormatting>
  <conditionalFormatting sqref="G35">
    <cfRule type="colorScale" priority="1303">
      <colorScale>
        <cfvo type="num" val="0"/>
        <cfvo type="num" val="1"/>
        <color rgb="FFFFFFFF"/>
        <color rgb="FF57BB8A"/>
      </colorScale>
    </cfRule>
  </conditionalFormatting>
  <conditionalFormatting sqref="G36">
    <cfRule type="colorScale" priority="1302">
      <colorScale>
        <cfvo type="num" val="0"/>
        <cfvo type="num" val="1"/>
        <color rgb="FFFFFFFF"/>
        <color rgb="FF57BB8A"/>
      </colorScale>
    </cfRule>
  </conditionalFormatting>
  <conditionalFormatting sqref="G37">
    <cfRule type="colorScale" priority="1301">
      <colorScale>
        <cfvo type="num" val="0"/>
        <cfvo type="num" val="1"/>
        <color rgb="FFFFFFFF"/>
        <color rgb="FF57BB8A"/>
      </colorScale>
    </cfRule>
  </conditionalFormatting>
  <conditionalFormatting sqref="G38">
    <cfRule type="colorScale" priority="1300">
      <colorScale>
        <cfvo type="num" val="0"/>
        <cfvo type="num" val="1"/>
        <color rgb="FFFFFFFF"/>
        <color rgb="FF57BB8A"/>
      </colorScale>
    </cfRule>
  </conditionalFormatting>
  <conditionalFormatting sqref="G39">
    <cfRule type="colorScale" priority="1299">
      <colorScale>
        <cfvo type="num" val="0"/>
        <cfvo type="num" val="1"/>
        <color rgb="FFFFFFFF"/>
        <color rgb="FF57BB8A"/>
      </colorScale>
    </cfRule>
  </conditionalFormatting>
  <conditionalFormatting sqref="G40">
    <cfRule type="colorScale" priority="1298">
      <colorScale>
        <cfvo type="num" val="0"/>
        <cfvo type="num" val="1"/>
        <color rgb="FFFFFFFF"/>
        <color rgb="FF57BB8A"/>
      </colorScale>
    </cfRule>
  </conditionalFormatting>
  <conditionalFormatting sqref="G41">
    <cfRule type="colorScale" priority="1297">
      <colorScale>
        <cfvo type="num" val="0"/>
        <cfvo type="num" val="1"/>
        <color rgb="FFFFFFFF"/>
        <color rgb="FF57BB8A"/>
      </colorScale>
    </cfRule>
  </conditionalFormatting>
  <conditionalFormatting sqref="G42">
    <cfRule type="colorScale" priority="1296">
      <colorScale>
        <cfvo type="num" val="0"/>
        <cfvo type="num" val="1"/>
        <color rgb="FFFFFFFF"/>
        <color rgb="FF57BB8A"/>
      </colorScale>
    </cfRule>
  </conditionalFormatting>
  <conditionalFormatting sqref="G43">
    <cfRule type="colorScale" priority="1295">
      <colorScale>
        <cfvo type="num" val="0"/>
        <cfvo type="num" val="1"/>
        <color rgb="FFFFFFFF"/>
        <color rgb="FF57BB8A"/>
      </colorScale>
    </cfRule>
  </conditionalFormatting>
  <conditionalFormatting sqref="G44">
    <cfRule type="colorScale" priority="1294">
      <colorScale>
        <cfvo type="num" val="0"/>
        <cfvo type="num" val="1"/>
        <color rgb="FFFFFFFF"/>
        <color rgb="FF57BB8A"/>
      </colorScale>
    </cfRule>
  </conditionalFormatting>
  <conditionalFormatting sqref="G45">
    <cfRule type="colorScale" priority="1293">
      <colorScale>
        <cfvo type="num" val="0"/>
        <cfvo type="num" val="1"/>
        <color rgb="FFFFFFFF"/>
        <color rgb="FF57BB8A"/>
      </colorScale>
    </cfRule>
  </conditionalFormatting>
  <conditionalFormatting sqref="G46">
    <cfRule type="colorScale" priority="1292">
      <colorScale>
        <cfvo type="num" val="0"/>
        <cfvo type="num" val="1"/>
        <color rgb="FFFFFFFF"/>
        <color rgb="FF57BB8A"/>
      </colorScale>
    </cfRule>
  </conditionalFormatting>
  <conditionalFormatting sqref="G47">
    <cfRule type="colorScale" priority="1291">
      <colorScale>
        <cfvo type="num" val="0"/>
        <cfvo type="num" val="1"/>
        <color rgb="FFFFFFFF"/>
        <color rgb="FF57BB8A"/>
      </colorScale>
    </cfRule>
  </conditionalFormatting>
  <conditionalFormatting sqref="G48">
    <cfRule type="colorScale" priority="1290">
      <colorScale>
        <cfvo type="num" val="0"/>
        <cfvo type="num" val="1"/>
        <color rgb="FFFFFFFF"/>
        <color rgb="FF57BB8A"/>
      </colorScale>
    </cfRule>
  </conditionalFormatting>
  <conditionalFormatting sqref="G49">
    <cfRule type="colorScale" priority="1289">
      <colorScale>
        <cfvo type="num" val="0"/>
        <cfvo type="num" val="1"/>
        <color rgb="FFFFFFFF"/>
        <color rgb="FF57BB8A"/>
      </colorScale>
    </cfRule>
  </conditionalFormatting>
  <conditionalFormatting sqref="G50">
    <cfRule type="colorScale" priority="1288">
      <colorScale>
        <cfvo type="num" val="0"/>
        <cfvo type="num" val="1"/>
        <color rgb="FFFFFFFF"/>
        <color rgb="FF57BB8A"/>
      </colorScale>
    </cfRule>
  </conditionalFormatting>
  <conditionalFormatting sqref="G51">
    <cfRule type="colorScale" priority="1287">
      <colorScale>
        <cfvo type="num" val="0"/>
        <cfvo type="num" val="1"/>
        <color rgb="FFFFFFFF"/>
        <color rgb="FF57BB8A"/>
      </colorScale>
    </cfRule>
  </conditionalFormatting>
  <conditionalFormatting sqref="G52">
    <cfRule type="colorScale" priority="1286">
      <colorScale>
        <cfvo type="num" val="0"/>
        <cfvo type="num" val="1"/>
        <color rgb="FFFFFFFF"/>
        <color rgb="FF57BB8A"/>
      </colorScale>
    </cfRule>
  </conditionalFormatting>
  <conditionalFormatting sqref="G53">
    <cfRule type="colorScale" priority="1284">
      <colorScale>
        <cfvo type="num" val="0"/>
        <cfvo type="num" val="1"/>
        <color rgb="FFFFFFFF"/>
        <color rgb="FF57BB8A"/>
      </colorScale>
    </cfRule>
  </conditionalFormatting>
  <conditionalFormatting sqref="G54">
    <cfRule type="colorScale" priority="1283">
      <colorScale>
        <cfvo type="num" val="0"/>
        <cfvo type="num" val="1"/>
        <color rgb="FFFFFFFF"/>
        <color rgb="FF57BB8A"/>
      </colorScale>
    </cfRule>
  </conditionalFormatting>
  <conditionalFormatting sqref="G55">
    <cfRule type="colorScale" priority="1282">
      <colorScale>
        <cfvo type="num" val="0"/>
        <cfvo type="num" val="1"/>
        <color rgb="FFFFFFFF"/>
        <color rgb="FF57BB8A"/>
      </colorScale>
    </cfRule>
  </conditionalFormatting>
  <conditionalFormatting sqref="G56">
    <cfRule type="colorScale" priority="1281">
      <colorScale>
        <cfvo type="num" val="0"/>
        <cfvo type="num" val="1"/>
        <color rgb="FFFFFFFF"/>
        <color rgb="FF57BB8A"/>
      </colorScale>
    </cfRule>
  </conditionalFormatting>
  <conditionalFormatting sqref="G57">
    <cfRule type="colorScale" priority="1280">
      <colorScale>
        <cfvo type="num" val="0"/>
        <cfvo type="num" val="1"/>
        <color rgb="FFFFFFFF"/>
        <color rgb="FF57BB8A"/>
      </colorScale>
    </cfRule>
  </conditionalFormatting>
  <conditionalFormatting sqref="G58">
    <cfRule type="colorScale" priority="1279">
      <colorScale>
        <cfvo type="num" val="0"/>
        <cfvo type="num" val="1"/>
        <color rgb="FFFFFFFF"/>
        <color rgb="FF57BB8A"/>
      </colorScale>
    </cfRule>
  </conditionalFormatting>
  <conditionalFormatting sqref="G59">
    <cfRule type="colorScale" priority="1278">
      <colorScale>
        <cfvo type="num" val="0"/>
        <cfvo type="num" val="1"/>
        <color rgb="FFFFFFFF"/>
        <color rgb="FF57BB8A"/>
      </colorScale>
    </cfRule>
  </conditionalFormatting>
  <conditionalFormatting sqref="G60">
    <cfRule type="colorScale" priority="1277">
      <colorScale>
        <cfvo type="num" val="0"/>
        <cfvo type="num" val="1"/>
        <color rgb="FFFFFFFF"/>
        <color rgb="FF57BB8A"/>
      </colorScale>
    </cfRule>
  </conditionalFormatting>
  <conditionalFormatting sqref="G61">
    <cfRule type="colorScale" priority="1276">
      <colorScale>
        <cfvo type="num" val="0"/>
        <cfvo type="num" val="1"/>
        <color rgb="FFFFFFFF"/>
        <color rgb="FF57BB8A"/>
      </colorScale>
    </cfRule>
  </conditionalFormatting>
  <conditionalFormatting sqref="G62">
    <cfRule type="colorScale" priority="1275">
      <colorScale>
        <cfvo type="num" val="0"/>
        <cfvo type="num" val="1"/>
        <color rgb="FFFFFFFF"/>
        <color rgb="FF57BB8A"/>
      </colorScale>
    </cfRule>
  </conditionalFormatting>
  <conditionalFormatting sqref="G63">
    <cfRule type="colorScale" priority="1274">
      <colorScale>
        <cfvo type="num" val="0"/>
        <cfvo type="num" val="1"/>
        <color rgb="FFFFFFFF"/>
        <color rgb="FF57BB8A"/>
      </colorScale>
    </cfRule>
  </conditionalFormatting>
  <conditionalFormatting sqref="G64">
    <cfRule type="colorScale" priority="1273">
      <colorScale>
        <cfvo type="num" val="0"/>
        <cfvo type="num" val="1"/>
        <color rgb="FFFFFFFF"/>
        <color rgb="FF57BB8A"/>
      </colorScale>
    </cfRule>
  </conditionalFormatting>
  <conditionalFormatting sqref="G65">
    <cfRule type="colorScale" priority="1272">
      <colorScale>
        <cfvo type="num" val="0"/>
        <cfvo type="num" val="1"/>
        <color rgb="FFFFFFFF"/>
        <color rgb="FF57BB8A"/>
      </colorScale>
    </cfRule>
  </conditionalFormatting>
  <conditionalFormatting sqref="G66">
    <cfRule type="colorScale" priority="1271">
      <colorScale>
        <cfvo type="num" val="0"/>
        <cfvo type="num" val="1"/>
        <color rgb="FFFFFFFF"/>
        <color rgb="FF57BB8A"/>
      </colorScale>
    </cfRule>
  </conditionalFormatting>
  <conditionalFormatting sqref="G67">
    <cfRule type="colorScale" priority="1270">
      <colorScale>
        <cfvo type="num" val="0"/>
        <cfvo type="num" val="1"/>
        <color rgb="FFFFFFFF"/>
        <color rgb="FF57BB8A"/>
      </colorScale>
    </cfRule>
  </conditionalFormatting>
  <conditionalFormatting sqref="G68">
    <cfRule type="colorScale" priority="1269">
      <colorScale>
        <cfvo type="num" val="0"/>
        <cfvo type="num" val="1"/>
        <color rgb="FFFFFFFF"/>
        <color rgb="FF57BB8A"/>
      </colorScale>
    </cfRule>
  </conditionalFormatting>
  <conditionalFormatting sqref="G69">
    <cfRule type="colorScale" priority="1268">
      <colorScale>
        <cfvo type="num" val="0"/>
        <cfvo type="num" val="1"/>
        <color rgb="FFFFFFFF"/>
        <color rgb="FF57BB8A"/>
      </colorScale>
    </cfRule>
  </conditionalFormatting>
  <conditionalFormatting sqref="G70">
    <cfRule type="colorScale" priority="1267">
      <colorScale>
        <cfvo type="num" val="0"/>
        <cfvo type="num" val="1"/>
        <color rgb="FFFFFFFF"/>
        <color rgb="FF57BB8A"/>
      </colorScale>
    </cfRule>
  </conditionalFormatting>
  <conditionalFormatting sqref="G71">
    <cfRule type="colorScale" priority="1266">
      <colorScale>
        <cfvo type="num" val="0"/>
        <cfvo type="num" val="1"/>
        <color rgb="FFFFFFFF"/>
        <color rgb="FF57BB8A"/>
      </colorScale>
    </cfRule>
  </conditionalFormatting>
  <conditionalFormatting sqref="G72">
    <cfRule type="colorScale" priority="1265">
      <colorScale>
        <cfvo type="num" val="0"/>
        <cfvo type="num" val="1"/>
        <color rgb="FFFFFFFF"/>
        <color rgb="FF57BB8A"/>
      </colorScale>
    </cfRule>
  </conditionalFormatting>
  <conditionalFormatting sqref="G73">
    <cfRule type="colorScale" priority="1264">
      <colorScale>
        <cfvo type="num" val="0"/>
        <cfvo type="num" val="1"/>
        <color rgb="FFFFFFFF"/>
        <color rgb="FF57BB8A"/>
      </colorScale>
    </cfRule>
  </conditionalFormatting>
  <conditionalFormatting sqref="G74">
    <cfRule type="colorScale" priority="1263">
      <colorScale>
        <cfvo type="num" val="0"/>
        <cfvo type="num" val="1"/>
        <color rgb="FFFFFFFF"/>
        <color rgb="FF57BB8A"/>
      </colorScale>
    </cfRule>
  </conditionalFormatting>
  <conditionalFormatting sqref="G75">
    <cfRule type="colorScale" priority="1262">
      <colorScale>
        <cfvo type="num" val="0"/>
        <cfvo type="num" val="1"/>
        <color rgb="FFFFFFFF"/>
        <color rgb="FF57BB8A"/>
      </colorScale>
    </cfRule>
  </conditionalFormatting>
  <conditionalFormatting sqref="G76">
    <cfRule type="colorScale" priority="1261">
      <colorScale>
        <cfvo type="num" val="0"/>
        <cfvo type="num" val="1"/>
        <color rgb="FFFFFFFF"/>
        <color rgb="FF57BB8A"/>
      </colorScale>
    </cfRule>
  </conditionalFormatting>
  <conditionalFormatting sqref="G77">
    <cfRule type="colorScale" priority="1260">
      <colorScale>
        <cfvo type="num" val="0"/>
        <cfvo type="num" val="1"/>
        <color rgb="FFFFFFFF"/>
        <color rgb="FF57BB8A"/>
      </colorScale>
    </cfRule>
  </conditionalFormatting>
  <conditionalFormatting sqref="G78">
    <cfRule type="colorScale" priority="1259">
      <colorScale>
        <cfvo type="num" val="0"/>
        <cfvo type="num" val="1"/>
        <color rgb="FFFFFFFF"/>
        <color rgb="FF57BB8A"/>
      </colorScale>
    </cfRule>
  </conditionalFormatting>
  <conditionalFormatting sqref="G79">
    <cfRule type="colorScale" priority="1258">
      <colorScale>
        <cfvo type="num" val="0"/>
        <cfvo type="num" val="1"/>
        <color rgb="FFFFFFFF"/>
        <color rgb="FF57BB8A"/>
      </colorScale>
    </cfRule>
  </conditionalFormatting>
  <conditionalFormatting sqref="G80">
    <cfRule type="colorScale" priority="1257">
      <colorScale>
        <cfvo type="num" val="0"/>
        <cfvo type="num" val="1"/>
        <color rgb="FFFFFFFF"/>
        <color rgb="FF57BB8A"/>
      </colorScale>
    </cfRule>
  </conditionalFormatting>
  <conditionalFormatting sqref="G81">
    <cfRule type="colorScale" priority="1256">
      <colorScale>
        <cfvo type="num" val="0"/>
        <cfvo type="num" val="1"/>
        <color rgb="FFFFFFFF"/>
        <color rgb="FF57BB8A"/>
      </colorScale>
    </cfRule>
  </conditionalFormatting>
  <conditionalFormatting sqref="G82">
    <cfRule type="colorScale" priority="1255">
      <colorScale>
        <cfvo type="num" val="0"/>
        <cfvo type="num" val="1"/>
        <color rgb="FFFFFFFF"/>
        <color rgb="FF57BB8A"/>
      </colorScale>
    </cfRule>
  </conditionalFormatting>
  <conditionalFormatting sqref="G83">
    <cfRule type="colorScale" priority="1254">
      <colorScale>
        <cfvo type="num" val="0"/>
        <cfvo type="num" val="1"/>
        <color rgb="FFFFFFFF"/>
        <color rgb="FF57BB8A"/>
      </colorScale>
    </cfRule>
  </conditionalFormatting>
  <conditionalFormatting sqref="G84">
    <cfRule type="colorScale" priority="1252">
      <colorScale>
        <cfvo type="num" val="0"/>
        <cfvo type="num" val="1"/>
        <color rgb="FFFFFFFF"/>
        <color rgb="FF57BB8A"/>
      </colorScale>
    </cfRule>
  </conditionalFormatting>
  <conditionalFormatting sqref="G85">
    <cfRule type="colorScale" priority="1251">
      <colorScale>
        <cfvo type="num" val="0"/>
        <cfvo type="num" val="1"/>
        <color rgb="FFFFFFFF"/>
        <color rgb="FF57BB8A"/>
      </colorScale>
    </cfRule>
  </conditionalFormatting>
  <conditionalFormatting sqref="G86">
    <cfRule type="colorScale" priority="1250">
      <colorScale>
        <cfvo type="num" val="0"/>
        <cfvo type="num" val="1"/>
        <color rgb="FFFFFFFF"/>
        <color rgb="FF57BB8A"/>
      </colorScale>
    </cfRule>
  </conditionalFormatting>
  <conditionalFormatting sqref="G87">
    <cfRule type="colorScale" priority="1249">
      <colorScale>
        <cfvo type="num" val="0"/>
        <cfvo type="num" val="1"/>
        <color rgb="FFFFFFFF"/>
        <color rgb="FF57BB8A"/>
      </colorScale>
    </cfRule>
  </conditionalFormatting>
  <conditionalFormatting sqref="G88">
    <cfRule type="colorScale" priority="1248">
      <colorScale>
        <cfvo type="num" val="0"/>
        <cfvo type="num" val="1"/>
        <color rgb="FFFFFFFF"/>
        <color rgb="FF57BB8A"/>
      </colorScale>
    </cfRule>
  </conditionalFormatting>
  <conditionalFormatting sqref="G89">
    <cfRule type="colorScale" priority="1247">
      <colorScale>
        <cfvo type="num" val="0"/>
        <cfvo type="num" val="1"/>
        <color rgb="FFFFFFFF"/>
        <color rgb="FF57BB8A"/>
      </colorScale>
    </cfRule>
  </conditionalFormatting>
  <conditionalFormatting sqref="G90">
    <cfRule type="colorScale" priority="1246">
      <colorScale>
        <cfvo type="num" val="0"/>
        <cfvo type="num" val="1"/>
        <color rgb="FFFFFFFF"/>
        <color rgb="FF57BB8A"/>
      </colorScale>
    </cfRule>
  </conditionalFormatting>
  <conditionalFormatting sqref="G91">
    <cfRule type="colorScale" priority="1245">
      <colorScale>
        <cfvo type="num" val="0"/>
        <cfvo type="num" val="1"/>
        <color rgb="FFFFFFFF"/>
        <color rgb="FF57BB8A"/>
      </colorScale>
    </cfRule>
  </conditionalFormatting>
  <conditionalFormatting sqref="G92">
    <cfRule type="colorScale" priority="1244">
      <colorScale>
        <cfvo type="num" val="0"/>
        <cfvo type="num" val="1"/>
        <color rgb="FFFFFFFF"/>
        <color rgb="FF57BB8A"/>
      </colorScale>
    </cfRule>
  </conditionalFormatting>
  <conditionalFormatting sqref="G93">
    <cfRule type="colorScale" priority="1243">
      <colorScale>
        <cfvo type="num" val="0"/>
        <cfvo type="num" val="1"/>
        <color rgb="FFFFFFFF"/>
        <color rgb="FF57BB8A"/>
      </colorScale>
    </cfRule>
  </conditionalFormatting>
  <conditionalFormatting sqref="G94">
    <cfRule type="colorScale" priority="1242">
      <colorScale>
        <cfvo type="num" val="0"/>
        <cfvo type="num" val="1"/>
        <color rgb="FFFFFFFF"/>
        <color rgb="FF57BB8A"/>
      </colorScale>
    </cfRule>
  </conditionalFormatting>
  <conditionalFormatting sqref="G95">
    <cfRule type="colorScale" priority="1241">
      <colorScale>
        <cfvo type="num" val="0"/>
        <cfvo type="num" val="1"/>
        <color rgb="FFFFFFFF"/>
        <color rgb="FF57BB8A"/>
      </colorScale>
    </cfRule>
  </conditionalFormatting>
  <conditionalFormatting sqref="G96">
    <cfRule type="colorScale" priority="1240">
      <colorScale>
        <cfvo type="num" val="0"/>
        <cfvo type="num" val="1"/>
        <color rgb="FFFFFFFF"/>
        <color rgb="FF57BB8A"/>
      </colorScale>
    </cfRule>
  </conditionalFormatting>
  <conditionalFormatting sqref="G97">
    <cfRule type="colorScale" priority="1239">
      <colorScale>
        <cfvo type="num" val="0"/>
        <cfvo type="num" val="1"/>
        <color rgb="FFFFFFFF"/>
        <color rgb="FF57BB8A"/>
      </colorScale>
    </cfRule>
  </conditionalFormatting>
  <conditionalFormatting sqref="G98">
    <cfRule type="colorScale" priority="1238">
      <colorScale>
        <cfvo type="num" val="0"/>
        <cfvo type="num" val="1"/>
        <color rgb="FFFFFFFF"/>
        <color rgb="FF57BB8A"/>
      </colorScale>
    </cfRule>
  </conditionalFormatting>
  <conditionalFormatting sqref="G99">
    <cfRule type="colorScale" priority="1237">
      <colorScale>
        <cfvo type="num" val="0"/>
        <cfvo type="num" val="1"/>
        <color rgb="FFFFFFFF"/>
        <color rgb="FF57BB8A"/>
      </colorScale>
    </cfRule>
  </conditionalFormatting>
  <conditionalFormatting sqref="G100">
    <cfRule type="colorScale" priority="1236">
      <colorScale>
        <cfvo type="num" val="0"/>
        <cfvo type="num" val="1"/>
        <color rgb="FFFFFFFF"/>
        <color rgb="FF57BB8A"/>
      </colorScale>
    </cfRule>
  </conditionalFormatting>
  <conditionalFormatting sqref="G101">
    <cfRule type="colorScale" priority="1235">
      <colorScale>
        <cfvo type="num" val="0"/>
        <cfvo type="num" val="1"/>
        <color rgb="FFFFFFFF"/>
        <color rgb="FF57BB8A"/>
      </colorScale>
    </cfRule>
  </conditionalFormatting>
  <conditionalFormatting sqref="G102">
    <cfRule type="colorScale" priority="1234">
      <colorScale>
        <cfvo type="num" val="0"/>
        <cfvo type="num" val="1"/>
        <color rgb="FFFFFFFF"/>
        <color rgb="FF57BB8A"/>
      </colorScale>
    </cfRule>
  </conditionalFormatting>
  <conditionalFormatting sqref="G103">
    <cfRule type="colorScale" priority="1233">
      <colorScale>
        <cfvo type="num" val="0"/>
        <cfvo type="num" val="1"/>
        <color rgb="FFFFFFFF"/>
        <color rgb="FF57BB8A"/>
      </colorScale>
    </cfRule>
  </conditionalFormatting>
  <conditionalFormatting sqref="G104">
    <cfRule type="colorScale" priority="1232">
      <colorScale>
        <cfvo type="num" val="0"/>
        <cfvo type="num" val="1"/>
        <color rgb="FFFFFFFF"/>
        <color rgb="FF57BB8A"/>
      </colorScale>
    </cfRule>
  </conditionalFormatting>
  <conditionalFormatting sqref="G105">
    <cfRule type="colorScale" priority="1231">
      <colorScale>
        <cfvo type="num" val="0"/>
        <cfvo type="num" val="1"/>
        <color rgb="FFFFFFFF"/>
        <color rgb="FF57BB8A"/>
      </colorScale>
    </cfRule>
  </conditionalFormatting>
  <conditionalFormatting sqref="G106">
    <cfRule type="colorScale" priority="1230">
      <colorScale>
        <cfvo type="num" val="0"/>
        <cfvo type="num" val="1"/>
        <color rgb="FFFFFFFF"/>
        <color rgb="FF57BB8A"/>
      </colorScale>
    </cfRule>
  </conditionalFormatting>
  <conditionalFormatting sqref="G107">
    <cfRule type="colorScale" priority="1229">
      <colorScale>
        <cfvo type="num" val="0"/>
        <cfvo type="num" val="1"/>
        <color rgb="FFFFFFFF"/>
        <color rgb="FF57BB8A"/>
      </colorScale>
    </cfRule>
  </conditionalFormatting>
  <conditionalFormatting sqref="G108">
    <cfRule type="colorScale" priority="1228">
      <colorScale>
        <cfvo type="num" val="0"/>
        <cfvo type="num" val="1"/>
        <color rgb="FFFFFFFF"/>
        <color rgb="FF57BB8A"/>
      </colorScale>
    </cfRule>
  </conditionalFormatting>
  <conditionalFormatting sqref="G109">
    <cfRule type="colorScale" priority="1227">
      <colorScale>
        <cfvo type="num" val="0"/>
        <cfvo type="num" val="1"/>
        <color rgb="FFFFFFFF"/>
        <color rgb="FF57BB8A"/>
      </colorScale>
    </cfRule>
  </conditionalFormatting>
  <conditionalFormatting sqref="G110">
    <cfRule type="colorScale" priority="1226">
      <colorScale>
        <cfvo type="num" val="0"/>
        <cfvo type="num" val="1"/>
        <color rgb="FFFFFFFF"/>
        <color rgb="FF57BB8A"/>
      </colorScale>
    </cfRule>
  </conditionalFormatting>
  <conditionalFormatting sqref="G111">
    <cfRule type="colorScale" priority="1225">
      <colorScale>
        <cfvo type="num" val="0"/>
        <cfvo type="num" val="1"/>
        <color rgb="FFFFFFFF"/>
        <color rgb="FF57BB8A"/>
      </colorScale>
    </cfRule>
  </conditionalFormatting>
  <conditionalFormatting sqref="G112">
    <cfRule type="colorScale" priority="1224">
      <colorScale>
        <cfvo type="num" val="0"/>
        <cfvo type="num" val="1"/>
        <color rgb="FFFFFFFF"/>
        <color rgb="FF57BB8A"/>
      </colorScale>
    </cfRule>
  </conditionalFormatting>
  <conditionalFormatting sqref="G113">
    <cfRule type="colorScale" priority="1223">
      <colorScale>
        <cfvo type="num" val="0"/>
        <cfvo type="num" val="1"/>
        <color rgb="FFFFFFFF"/>
        <color rgb="FF57BB8A"/>
      </colorScale>
    </cfRule>
  </conditionalFormatting>
  <conditionalFormatting sqref="G114">
    <cfRule type="colorScale" priority="1222">
      <colorScale>
        <cfvo type="num" val="0"/>
        <cfvo type="num" val="1"/>
        <color rgb="FFFFFFFF"/>
        <color rgb="FF57BB8A"/>
      </colorScale>
    </cfRule>
  </conditionalFormatting>
  <conditionalFormatting sqref="G115">
    <cfRule type="colorScale" priority="1220">
      <colorScale>
        <cfvo type="num" val="0"/>
        <cfvo type="num" val="1"/>
        <color rgb="FFFFFFFF"/>
        <color rgb="FF57BB8A"/>
      </colorScale>
    </cfRule>
  </conditionalFormatting>
  <conditionalFormatting sqref="G116">
    <cfRule type="colorScale" priority="1219">
      <colorScale>
        <cfvo type="num" val="0"/>
        <cfvo type="num" val="1"/>
        <color rgb="FFFFFFFF"/>
        <color rgb="FF57BB8A"/>
      </colorScale>
    </cfRule>
  </conditionalFormatting>
  <conditionalFormatting sqref="G117">
    <cfRule type="colorScale" priority="1218">
      <colorScale>
        <cfvo type="num" val="0"/>
        <cfvo type="num" val="1"/>
        <color rgb="FFFFFFFF"/>
        <color rgb="FF57BB8A"/>
      </colorScale>
    </cfRule>
  </conditionalFormatting>
  <conditionalFormatting sqref="G118">
    <cfRule type="colorScale" priority="1217">
      <colorScale>
        <cfvo type="num" val="0"/>
        <cfvo type="num" val="1"/>
        <color rgb="FFFFFFFF"/>
        <color rgb="FF57BB8A"/>
      </colorScale>
    </cfRule>
  </conditionalFormatting>
  <conditionalFormatting sqref="G119">
    <cfRule type="colorScale" priority="1216">
      <colorScale>
        <cfvo type="num" val="0"/>
        <cfvo type="num" val="1"/>
        <color rgb="FFFFFFFF"/>
        <color rgb="FF57BB8A"/>
      </colorScale>
    </cfRule>
  </conditionalFormatting>
  <conditionalFormatting sqref="G120">
    <cfRule type="colorScale" priority="1215">
      <colorScale>
        <cfvo type="num" val="0"/>
        <cfvo type="num" val="1"/>
        <color rgb="FFFFFFFF"/>
        <color rgb="FF57BB8A"/>
      </colorScale>
    </cfRule>
  </conditionalFormatting>
  <conditionalFormatting sqref="G121">
    <cfRule type="colorScale" priority="1214">
      <colorScale>
        <cfvo type="num" val="0"/>
        <cfvo type="num" val="1"/>
        <color rgb="FFFFFFFF"/>
        <color rgb="FF57BB8A"/>
      </colorScale>
    </cfRule>
  </conditionalFormatting>
  <conditionalFormatting sqref="G122">
    <cfRule type="colorScale" priority="1213">
      <colorScale>
        <cfvo type="num" val="0"/>
        <cfvo type="num" val="1"/>
        <color rgb="FFFFFFFF"/>
        <color rgb="FF57BB8A"/>
      </colorScale>
    </cfRule>
  </conditionalFormatting>
  <conditionalFormatting sqref="G123">
    <cfRule type="colorScale" priority="1212">
      <colorScale>
        <cfvo type="num" val="0"/>
        <cfvo type="num" val="1"/>
        <color rgb="FFFFFFFF"/>
        <color rgb="FF57BB8A"/>
      </colorScale>
    </cfRule>
  </conditionalFormatting>
  <conditionalFormatting sqref="G124">
    <cfRule type="colorScale" priority="1211">
      <colorScale>
        <cfvo type="num" val="0"/>
        <cfvo type="num" val="1"/>
        <color rgb="FFFFFFFF"/>
        <color rgb="FF57BB8A"/>
      </colorScale>
    </cfRule>
  </conditionalFormatting>
  <conditionalFormatting sqref="G125">
    <cfRule type="colorScale" priority="1210">
      <colorScale>
        <cfvo type="num" val="0"/>
        <cfvo type="num" val="1"/>
        <color rgb="FFFFFFFF"/>
        <color rgb="FF57BB8A"/>
      </colorScale>
    </cfRule>
  </conditionalFormatting>
  <conditionalFormatting sqref="G126">
    <cfRule type="colorScale" priority="1209">
      <colorScale>
        <cfvo type="num" val="0"/>
        <cfvo type="num" val="1"/>
        <color rgb="FFFFFFFF"/>
        <color rgb="FF57BB8A"/>
      </colorScale>
    </cfRule>
  </conditionalFormatting>
  <conditionalFormatting sqref="G127">
    <cfRule type="colorScale" priority="1208">
      <colorScale>
        <cfvo type="num" val="0"/>
        <cfvo type="num" val="1"/>
        <color rgb="FFFFFFFF"/>
        <color rgb="FF57BB8A"/>
      </colorScale>
    </cfRule>
  </conditionalFormatting>
  <conditionalFormatting sqref="G128">
    <cfRule type="colorScale" priority="1207">
      <colorScale>
        <cfvo type="num" val="0"/>
        <cfvo type="num" val="1"/>
        <color rgb="FFFFFFFF"/>
        <color rgb="FF57BB8A"/>
      </colorScale>
    </cfRule>
  </conditionalFormatting>
  <conditionalFormatting sqref="G129">
    <cfRule type="colorScale" priority="1206">
      <colorScale>
        <cfvo type="num" val="0"/>
        <cfvo type="num" val="1"/>
        <color rgb="FFFFFFFF"/>
        <color rgb="FF57BB8A"/>
      </colorScale>
    </cfRule>
  </conditionalFormatting>
  <conditionalFormatting sqref="G130">
    <cfRule type="colorScale" priority="1205">
      <colorScale>
        <cfvo type="num" val="0"/>
        <cfvo type="num" val="1"/>
        <color rgb="FFFFFFFF"/>
        <color rgb="FF57BB8A"/>
      </colorScale>
    </cfRule>
  </conditionalFormatting>
  <conditionalFormatting sqref="G131">
    <cfRule type="colorScale" priority="1204">
      <colorScale>
        <cfvo type="num" val="0"/>
        <cfvo type="num" val="1"/>
        <color rgb="FFFFFFFF"/>
        <color rgb="FF57BB8A"/>
      </colorScale>
    </cfRule>
  </conditionalFormatting>
  <conditionalFormatting sqref="G132">
    <cfRule type="colorScale" priority="1203">
      <colorScale>
        <cfvo type="num" val="0"/>
        <cfvo type="num" val="1"/>
        <color rgb="FFFFFFFF"/>
        <color rgb="FF57BB8A"/>
      </colorScale>
    </cfRule>
  </conditionalFormatting>
  <conditionalFormatting sqref="G133">
    <cfRule type="colorScale" priority="1202">
      <colorScale>
        <cfvo type="num" val="0"/>
        <cfvo type="num" val="1"/>
        <color rgb="FFFFFFFF"/>
        <color rgb="FF57BB8A"/>
      </colorScale>
    </cfRule>
  </conditionalFormatting>
  <conditionalFormatting sqref="G134">
    <cfRule type="colorScale" priority="1201">
      <colorScale>
        <cfvo type="num" val="0"/>
        <cfvo type="num" val="1"/>
        <color rgb="FFFFFFFF"/>
        <color rgb="FF57BB8A"/>
      </colorScale>
    </cfRule>
  </conditionalFormatting>
  <conditionalFormatting sqref="G135">
    <cfRule type="colorScale" priority="1200">
      <colorScale>
        <cfvo type="num" val="0"/>
        <cfvo type="num" val="1"/>
        <color rgb="FFFFFFFF"/>
        <color rgb="FF57BB8A"/>
      </colorScale>
    </cfRule>
  </conditionalFormatting>
  <conditionalFormatting sqref="G136">
    <cfRule type="colorScale" priority="1199">
      <colorScale>
        <cfvo type="num" val="0"/>
        <cfvo type="num" val="1"/>
        <color rgb="FFFFFFFF"/>
        <color rgb="FF57BB8A"/>
      </colorScale>
    </cfRule>
  </conditionalFormatting>
  <conditionalFormatting sqref="G137">
    <cfRule type="colorScale" priority="1198">
      <colorScale>
        <cfvo type="num" val="0"/>
        <cfvo type="num" val="1"/>
        <color rgb="FFFFFFFF"/>
        <color rgb="FF57BB8A"/>
      </colorScale>
    </cfRule>
  </conditionalFormatting>
  <conditionalFormatting sqref="H6">
    <cfRule type="cellIs" dxfId="689" priority="1195" operator="equal">
      <formula>"진행중"</formula>
    </cfRule>
    <cfRule type="cellIs" dxfId="688" priority="1196" operator="equal">
      <formula>"예정"</formula>
    </cfRule>
    <cfRule type="cellIs" dxfId="687" priority="1197" operator="equal">
      <formula>"완료"</formula>
    </cfRule>
  </conditionalFormatting>
  <conditionalFormatting sqref="H7">
    <cfRule type="cellIs" dxfId="686" priority="1192" operator="equal">
      <formula>"진행중"</formula>
    </cfRule>
    <cfRule type="cellIs" dxfId="685" priority="1193" operator="equal">
      <formula>"예정"</formula>
    </cfRule>
    <cfRule type="cellIs" dxfId="684" priority="1194" operator="equal">
      <formula>"완료"</formula>
    </cfRule>
  </conditionalFormatting>
  <conditionalFormatting sqref="H8">
    <cfRule type="cellIs" dxfId="683" priority="1189" operator="equal">
      <formula>"진행중"</formula>
    </cfRule>
    <cfRule type="cellIs" dxfId="682" priority="1190" operator="equal">
      <formula>"예정"</formula>
    </cfRule>
    <cfRule type="cellIs" dxfId="681" priority="1191" operator="equal">
      <formula>"완료"</formula>
    </cfRule>
  </conditionalFormatting>
  <conditionalFormatting sqref="H9">
    <cfRule type="cellIs" dxfId="680" priority="1186" operator="equal">
      <formula>"진행중"</formula>
    </cfRule>
    <cfRule type="cellIs" dxfId="679" priority="1187" operator="equal">
      <formula>"예정"</formula>
    </cfRule>
    <cfRule type="cellIs" dxfId="678" priority="1188" operator="equal">
      <formula>"완료"</formula>
    </cfRule>
  </conditionalFormatting>
  <conditionalFormatting sqref="H10">
    <cfRule type="cellIs" dxfId="677" priority="1183" operator="equal">
      <formula>"진행중"</formula>
    </cfRule>
    <cfRule type="cellIs" dxfId="676" priority="1184" operator="equal">
      <formula>"예정"</formula>
    </cfRule>
    <cfRule type="cellIs" dxfId="675" priority="1185" operator="equal">
      <formula>"완료"</formula>
    </cfRule>
  </conditionalFormatting>
  <conditionalFormatting sqref="H11">
    <cfRule type="cellIs" dxfId="674" priority="1180" operator="equal">
      <formula>"진행중"</formula>
    </cfRule>
    <cfRule type="cellIs" dxfId="673" priority="1181" operator="equal">
      <formula>"예정"</formula>
    </cfRule>
    <cfRule type="cellIs" dxfId="672" priority="1182" operator="equal">
      <formula>"완료"</formula>
    </cfRule>
  </conditionalFormatting>
  <conditionalFormatting sqref="H12">
    <cfRule type="cellIs" dxfId="671" priority="1177" operator="equal">
      <formula>"진행중"</formula>
    </cfRule>
    <cfRule type="cellIs" dxfId="670" priority="1178" operator="equal">
      <formula>"예정"</formula>
    </cfRule>
    <cfRule type="cellIs" dxfId="669" priority="1179" operator="equal">
      <formula>"완료"</formula>
    </cfRule>
  </conditionalFormatting>
  <conditionalFormatting sqref="H13">
    <cfRule type="cellIs" dxfId="668" priority="1174" operator="equal">
      <formula>"진행중"</formula>
    </cfRule>
    <cfRule type="cellIs" dxfId="667" priority="1175" operator="equal">
      <formula>"예정"</formula>
    </cfRule>
    <cfRule type="cellIs" dxfId="666" priority="1176" operator="equal">
      <formula>"완료"</formula>
    </cfRule>
  </conditionalFormatting>
  <conditionalFormatting sqref="H14">
    <cfRule type="cellIs" dxfId="665" priority="1171" operator="equal">
      <formula>"진행중"</formula>
    </cfRule>
    <cfRule type="cellIs" dxfId="664" priority="1172" operator="equal">
      <formula>"예정"</formula>
    </cfRule>
    <cfRule type="cellIs" dxfId="663" priority="1173" operator="equal">
      <formula>"완료"</formula>
    </cfRule>
  </conditionalFormatting>
  <conditionalFormatting sqref="H15">
    <cfRule type="cellIs" dxfId="662" priority="1168" operator="equal">
      <formula>"진행중"</formula>
    </cfRule>
    <cfRule type="cellIs" dxfId="661" priority="1169" operator="equal">
      <formula>"예정"</formula>
    </cfRule>
    <cfRule type="cellIs" dxfId="660" priority="1170" operator="equal">
      <formula>"완료"</formula>
    </cfRule>
  </conditionalFormatting>
  <conditionalFormatting sqref="H16">
    <cfRule type="cellIs" dxfId="659" priority="1165" operator="equal">
      <formula>"진행중"</formula>
    </cfRule>
    <cfRule type="cellIs" dxfId="658" priority="1166" operator="equal">
      <formula>"예정"</formula>
    </cfRule>
    <cfRule type="cellIs" dxfId="657" priority="1167" operator="equal">
      <formula>"완료"</formula>
    </cfRule>
  </conditionalFormatting>
  <conditionalFormatting sqref="H17">
    <cfRule type="cellIs" dxfId="656" priority="1162" operator="equal">
      <formula>"진행중"</formula>
    </cfRule>
    <cfRule type="cellIs" dxfId="655" priority="1163" operator="equal">
      <formula>"예정"</formula>
    </cfRule>
    <cfRule type="cellIs" dxfId="654" priority="1164" operator="equal">
      <formula>"완료"</formula>
    </cfRule>
  </conditionalFormatting>
  <conditionalFormatting sqref="H18">
    <cfRule type="cellIs" dxfId="653" priority="1159" operator="equal">
      <formula>"진행중"</formula>
    </cfRule>
    <cfRule type="cellIs" dxfId="652" priority="1160" operator="equal">
      <formula>"예정"</formula>
    </cfRule>
    <cfRule type="cellIs" dxfId="651" priority="1161" operator="equal">
      <formula>"완료"</formula>
    </cfRule>
  </conditionalFormatting>
  <conditionalFormatting sqref="H19">
    <cfRule type="cellIs" dxfId="650" priority="1156" operator="equal">
      <formula>"진행중"</formula>
    </cfRule>
    <cfRule type="cellIs" dxfId="649" priority="1157" operator="equal">
      <formula>"예정"</formula>
    </cfRule>
    <cfRule type="cellIs" dxfId="648" priority="1158" operator="equal">
      <formula>"완료"</formula>
    </cfRule>
  </conditionalFormatting>
  <conditionalFormatting sqref="H20">
    <cfRule type="cellIs" dxfId="647" priority="1153" operator="equal">
      <formula>"진행중"</formula>
    </cfRule>
    <cfRule type="cellIs" dxfId="646" priority="1154" operator="equal">
      <formula>"예정"</formula>
    </cfRule>
    <cfRule type="cellIs" dxfId="645" priority="1155" operator="equal">
      <formula>"완료"</formula>
    </cfRule>
  </conditionalFormatting>
  <conditionalFormatting sqref="H21">
    <cfRule type="cellIs" dxfId="644" priority="1150" operator="equal">
      <formula>"진행중"</formula>
    </cfRule>
    <cfRule type="cellIs" dxfId="643" priority="1151" operator="equal">
      <formula>"예정"</formula>
    </cfRule>
    <cfRule type="cellIs" dxfId="642" priority="1152" operator="equal">
      <formula>"완료"</formula>
    </cfRule>
  </conditionalFormatting>
  <conditionalFormatting sqref="H22">
    <cfRule type="cellIs" dxfId="641" priority="1147" operator="equal">
      <formula>"진행중"</formula>
    </cfRule>
    <cfRule type="cellIs" dxfId="640" priority="1148" operator="equal">
      <formula>"예정"</formula>
    </cfRule>
    <cfRule type="cellIs" dxfId="639" priority="1149" operator="equal">
      <formula>"완료"</formula>
    </cfRule>
  </conditionalFormatting>
  <conditionalFormatting sqref="H23">
    <cfRule type="cellIs" dxfId="638" priority="1141" operator="equal">
      <formula>"진행중"</formula>
    </cfRule>
    <cfRule type="cellIs" dxfId="637" priority="1142" operator="equal">
      <formula>"예정"</formula>
    </cfRule>
    <cfRule type="cellIs" dxfId="636" priority="1143" operator="equal">
      <formula>"완료"</formula>
    </cfRule>
  </conditionalFormatting>
  <conditionalFormatting sqref="H24">
    <cfRule type="cellIs" dxfId="635" priority="1138" operator="equal">
      <formula>"진행중"</formula>
    </cfRule>
    <cfRule type="cellIs" dxfId="634" priority="1139" operator="equal">
      <formula>"예정"</formula>
    </cfRule>
    <cfRule type="cellIs" dxfId="633" priority="1140" operator="equal">
      <formula>"완료"</formula>
    </cfRule>
  </conditionalFormatting>
  <conditionalFormatting sqref="H25">
    <cfRule type="cellIs" dxfId="632" priority="1135" operator="equal">
      <formula>"진행중"</formula>
    </cfRule>
    <cfRule type="cellIs" dxfId="631" priority="1136" operator="equal">
      <formula>"예정"</formula>
    </cfRule>
    <cfRule type="cellIs" dxfId="630" priority="1137" operator="equal">
      <formula>"완료"</formula>
    </cfRule>
  </conditionalFormatting>
  <conditionalFormatting sqref="H26">
    <cfRule type="cellIs" dxfId="629" priority="1129" operator="equal">
      <formula>"진행중"</formula>
    </cfRule>
    <cfRule type="cellIs" dxfId="628" priority="1130" operator="equal">
      <formula>"예정"</formula>
    </cfRule>
    <cfRule type="cellIs" dxfId="627" priority="1131" operator="equal">
      <formula>"완료"</formula>
    </cfRule>
  </conditionalFormatting>
  <conditionalFormatting sqref="H27">
    <cfRule type="cellIs" dxfId="626" priority="1126" operator="equal">
      <formula>"진행중"</formula>
    </cfRule>
    <cfRule type="cellIs" dxfId="625" priority="1127" operator="equal">
      <formula>"예정"</formula>
    </cfRule>
    <cfRule type="cellIs" dxfId="624" priority="1128" operator="equal">
      <formula>"완료"</formula>
    </cfRule>
  </conditionalFormatting>
  <conditionalFormatting sqref="H28">
    <cfRule type="cellIs" dxfId="623" priority="1123" operator="equal">
      <formula>"진행중"</formula>
    </cfRule>
    <cfRule type="cellIs" dxfId="622" priority="1124" operator="equal">
      <formula>"예정"</formula>
    </cfRule>
    <cfRule type="cellIs" dxfId="621" priority="1125" operator="equal">
      <formula>"완료"</formula>
    </cfRule>
  </conditionalFormatting>
  <conditionalFormatting sqref="H29">
    <cfRule type="cellIs" dxfId="620" priority="1120" operator="equal">
      <formula>"진행중"</formula>
    </cfRule>
    <cfRule type="cellIs" dxfId="619" priority="1121" operator="equal">
      <formula>"예정"</formula>
    </cfRule>
    <cfRule type="cellIs" dxfId="618" priority="1122" operator="equal">
      <formula>"완료"</formula>
    </cfRule>
  </conditionalFormatting>
  <conditionalFormatting sqref="H30">
    <cfRule type="cellIs" dxfId="617" priority="1117" operator="equal">
      <formula>"진행중"</formula>
    </cfRule>
    <cfRule type="cellIs" dxfId="616" priority="1118" operator="equal">
      <formula>"예정"</formula>
    </cfRule>
    <cfRule type="cellIs" dxfId="615" priority="1119" operator="equal">
      <formula>"완료"</formula>
    </cfRule>
  </conditionalFormatting>
  <conditionalFormatting sqref="H31">
    <cfRule type="cellIs" dxfId="614" priority="1114" operator="equal">
      <formula>"진행중"</formula>
    </cfRule>
    <cfRule type="cellIs" dxfId="613" priority="1115" operator="equal">
      <formula>"예정"</formula>
    </cfRule>
    <cfRule type="cellIs" dxfId="612" priority="1116" operator="equal">
      <formula>"완료"</formula>
    </cfRule>
  </conditionalFormatting>
  <conditionalFormatting sqref="H32">
    <cfRule type="cellIs" dxfId="611" priority="1111" operator="equal">
      <formula>"진행중"</formula>
    </cfRule>
    <cfRule type="cellIs" dxfId="610" priority="1112" operator="equal">
      <formula>"예정"</formula>
    </cfRule>
    <cfRule type="cellIs" dxfId="609" priority="1113" operator="equal">
      <formula>"완료"</formula>
    </cfRule>
  </conditionalFormatting>
  <conditionalFormatting sqref="H33">
    <cfRule type="cellIs" dxfId="608" priority="1108" operator="equal">
      <formula>"진행중"</formula>
    </cfRule>
    <cfRule type="cellIs" dxfId="607" priority="1109" operator="equal">
      <formula>"예정"</formula>
    </cfRule>
    <cfRule type="cellIs" dxfId="606" priority="1110" operator="equal">
      <formula>"완료"</formula>
    </cfRule>
  </conditionalFormatting>
  <conditionalFormatting sqref="H34">
    <cfRule type="cellIs" dxfId="605" priority="1105" operator="equal">
      <formula>"진행중"</formula>
    </cfRule>
    <cfRule type="cellIs" dxfId="604" priority="1106" operator="equal">
      <formula>"예정"</formula>
    </cfRule>
    <cfRule type="cellIs" dxfId="603" priority="1107" operator="equal">
      <formula>"완료"</formula>
    </cfRule>
  </conditionalFormatting>
  <conditionalFormatting sqref="H35">
    <cfRule type="cellIs" dxfId="602" priority="1102" operator="equal">
      <formula>"진행중"</formula>
    </cfRule>
    <cfRule type="cellIs" dxfId="601" priority="1103" operator="equal">
      <formula>"예정"</formula>
    </cfRule>
    <cfRule type="cellIs" dxfId="600" priority="1104" operator="equal">
      <formula>"완료"</formula>
    </cfRule>
  </conditionalFormatting>
  <conditionalFormatting sqref="H36">
    <cfRule type="cellIs" dxfId="599" priority="1099" operator="equal">
      <formula>"진행중"</formula>
    </cfRule>
    <cfRule type="cellIs" dxfId="598" priority="1100" operator="equal">
      <formula>"예정"</formula>
    </cfRule>
    <cfRule type="cellIs" dxfId="597" priority="1101" operator="equal">
      <formula>"완료"</formula>
    </cfRule>
  </conditionalFormatting>
  <conditionalFormatting sqref="H37">
    <cfRule type="cellIs" dxfId="596" priority="1096" operator="equal">
      <formula>"진행중"</formula>
    </cfRule>
    <cfRule type="cellIs" dxfId="595" priority="1097" operator="equal">
      <formula>"예정"</formula>
    </cfRule>
    <cfRule type="cellIs" dxfId="594" priority="1098" operator="equal">
      <formula>"완료"</formula>
    </cfRule>
  </conditionalFormatting>
  <conditionalFormatting sqref="H38">
    <cfRule type="cellIs" dxfId="593" priority="1093" operator="equal">
      <formula>"진행중"</formula>
    </cfRule>
    <cfRule type="cellIs" dxfId="592" priority="1094" operator="equal">
      <formula>"예정"</formula>
    </cfRule>
    <cfRule type="cellIs" dxfId="591" priority="1095" operator="equal">
      <formula>"완료"</formula>
    </cfRule>
  </conditionalFormatting>
  <conditionalFormatting sqref="H39">
    <cfRule type="cellIs" dxfId="590" priority="1090" operator="equal">
      <formula>"진행중"</formula>
    </cfRule>
    <cfRule type="cellIs" dxfId="589" priority="1091" operator="equal">
      <formula>"예정"</formula>
    </cfRule>
    <cfRule type="cellIs" dxfId="588" priority="1092" operator="equal">
      <formula>"완료"</formula>
    </cfRule>
  </conditionalFormatting>
  <conditionalFormatting sqref="H40">
    <cfRule type="cellIs" dxfId="587" priority="1087" operator="equal">
      <formula>"진행중"</formula>
    </cfRule>
    <cfRule type="cellIs" dxfId="586" priority="1088" operator="equal">
      <formula>"예정"</formula>
    </cfRule>
    <cfRule type="cellIs" dxfId="585" priority="1089" operator="equal">
      <formula>"완료"</formula>
    </cfRule>
  </conditionalFormatting>
  <conditionalFormatting sqref="H41">
    <cfRule type="cellIs" dxfId="584" priority="1084" operator="equal">
      <formula>"진행중"</formula>
    </cfRule>
    <cfRule type="cellIs" dxfId="583" priority="1085" operator="equal">
      <formula>"예정"</formula>
    </cfRule>
    <cfRule type="cellIs" dxfId="582" priority="1086" operator="equal">
      <formula>"완료"</formula>
    </cfRule>
  </conditionalFormatting>
  <conditionalFormatting sqref="H42">
    <cfRule type="cellIs" dxfId="581" priority="1081" operator="equal">
      <formula>"진행중"</formula>
    </cfRule>
    <cfRule type="cellIs" dxfId="580" priority="1082" operator="equal">
      <formula>"예정"</formula>
    </cfRule>
    <cfRule type="cellIs" dxfId="579" priority="1083" operator="equal">
      <formula>"완료"</formula>
    </cfRule>
  </conditionalFormatting>
  <conditionalFormatting sqref="H43">
    <cfRule type="cellIs" dxfId="578" priority="1078" operator="equal">
      <formula>"진행중"</formula>
    </cfRule>
    <cfRule type="cellIs" dxfId="577" priority="1079" operator="equal">
      <formula>"예정"</formula>
    </cfRule>
    <cfRule type="cellIs" dxfId="576" priority="1080" operator="equal">
      <formula>"완료"</formula>
    </cfRule>
  </conditionalFormatting>
  <conditionalFormatting sqref="H44">
    <cfRule type="cellIs" dxfId="575" priority="1075" operator="equal">
      <formula>"진행중"</formula>
    </cfRule>
    <cfRule type="cellIs" dxfId="574" priority="1076" operator="equal">
      <formula>"예정"</formula>
    </cfRule>
    <cfRule type="cellIs" dxfId="573" priority="1077" operator="equal">
      <formula>"완료"</formula>
    </cfRule>
  </conditionalFormatting>
  <conditionalFormatting sqref="H45">
    <cfRule type="cellIs" dxfId="572" priority="1072" operator="equal">
      <formula>"진행중"</formula>
    </cfRule>
    <cfRule type="cellIs" dxfId="571" priority="1073" operator="equal">
      <formula>"예정"</formula>
    </cfRule>
    <cfRule type="cellIs" dxfId="570" priority="1074" operator="equal">
      <formula>"완료"</formula>
    </cfRule>
  </conditionalFormatting>
  <conditionalFormatting sqref="H46">
    <cfRule type="cellIs" dxfId="569" priority="1069" operator="equal">
      <formula>"진행중"</formula>
    </cfRule>
    <cfRule type="cellIs" dxfId="568" priority="1070" operator="equal">
      <formula>"예정"</formula>
    </cfRule>
    <cfRule type="cellIs" dxfId="567" priority="1071" operator="equal">
      <formula>"완료"</formula>
    </cfRule>
  </conditionalFormatting>
  <conditionalFormatting sqref="H47">
    <cfRule type="cellIs" dxfId="566" priority="1066" operator="equal">
      <formula>"진행중"</formula>
    </cfRule>
    <cfRule type="cellIs" dxfId="565" priority="1067" operator="equal">
      <formula>"예정"</formula>
    </cfRule>
    <cfRule type="cellIs" dxfId="564" priority="1068" operator="equal">
      <formula>"완료"</formula>
    </cfRule>
  </conditionalFormatting>
  <conditionalFormatting sqref="H48">
    <cfRule type="cellIs" dxfId="563" priority="1063" operator="equal">
      <formula>"진행중"</formula>
    </cfRule>
    <cfRule type="cellIs" dxfId="562" priority="1064" operator="equal">
      <formula>"예정"</formula>
    </cfRule>
    <cfRule type="cellIs" dxfId="561" priority="1065" operator="equal">
      <formula>"완료"</formula>
    </cfRule>
  </conditionalFormatting>
  <conditionalFormatting sqref="H49">
    <cfRule type="cellIs" dxfId="560" priority="1060" operator="equal">
      <formula>"진행중"</formula>
    </cfRule>
    <cfRule type="cellIs" dxfId="559" priority="1061" operator="equal">
      <formula>"예정"</formula>
    </cfRule>
    <cfRule type="cellIs" dxfId="558" priority="1062" operator="equal">
      <formula>"완료"</formula>
    </cfRule>
  </conditionalFormatting>
  <conditionalFormatting sqref="H50">
    <cfRule type="cellIs" dxfId="557" priority="1057" operator="equal">
      <formula>"진행중"</formula>
    </cfRule>
    <cfRule type="cellIs" dxfId="556" priority="1058" operator="equal">
      <formula>"예정"</formula>
    </cfRule>
    <cfRule type="cellIs" dxfId="555" priority="1059" operator="equal">
      <formula>"완료"</formula>
    </cfRule>
  </conditionalFormatting>
  <conditionalFormatting sqref="H51">
    <cfRule type="cellIs" dxfId="554" priority="1054" operator="equal">
      <formula>"진행중"</formula>
    </cfRule>
    <cfRule type="cellIs" dxfId="553" priority="1055" operator="equal">
      <formula>"예정"</formula>
    </cfRule>
    <cfRule type="cellIs" dxfId="552" priority="1056" operator="equal">
      <formula>"완료"</formula>
    </cfRule>
  </conditionalFormatting>
  <conditionalFormatting sqref="H52">
    <cfRule type="cellIs" dxfId="551" priority="1051" operator="equal">
      <formula>"진행중"</formula>
    </cfRule>
    <cfRule type="cellIs" dxfId="550" priority="1052" operator="equal">
      <formula>"예정"</formula>
    </cfRule>
    <cfRule type="cellIs" dxfId="549" priority="1053" operator="equal">
      <formula>"완료"</formula>
    </cfRule>
  </conditionalFormatting>
  <conditionalFormatting sqref="H53">
    <cfRule type="cellIs" dxfId="548" priority="1045" operator="equal">
      <formula>"진행중"</formula>
    </cfRule>
    <cfRule type="cellIs" dxfId="547" priority="1046" operator="equal">
      <formula>"예정"</formula>
    </cfRule>
    <cfRule type="cellIs" dxfId="546" priority="1047" operator="equal">
      <formula>"완료"</formula>
    </cfRule>
  </conditionalFormatting>
  <conditionalFormatting sqref="H54">
    <cfRule type="cellIs" dxfId="545" priority="1042" operator="equal">
      <formula>"진행중"</formula>
    </cfRule>
    <cfRule type="cellIs" dxfId="544" priority="1043" operator="equal">
      <formula>"예정"</formula>
    </cfRule>
    <cfRule type="cellIs" dxfId="543" priority="1044" operator="equal">
      <formula>"완료"</formula>
    </cfRule>
  </conditionalFormatting>
  <conditionalFormatting sqref="H55">
    <cfRule type="cellIs" dxfId="542" priority="1039" operator="equal">
      <formula>"진행중"</formula>
    </cfRule>
    <cfRule type="cellIs" dxfId="541" priority="1040" operator="equal">
      <formula>"예정"</formula>
    </cfRule>
    <cfRule type="cellIs" dxfId="540" priority="1041" operator="equal">
      <formula>"완료"</formula>
    </cfRule>
  </conditionalFormatting>
  <conditionalFormatting sqref="H56">
    <cfRule type="cellIs" dxfId="539" priority="1036" operator="equal">
      <formula>"진행중"</formula>
    </cfRule>
    <cfRule type="cellIs" dxfId="538" priority="1037" operator="equal">
      <formula>"예정"</formula>
    </cfRule>
    <cfRule type="cellIs" dxfId="537" priority="1038" operator="equal">
      <formula>"완료"</formula>
    </cfRule>
  </conditionalFormatting>
  <conditionalFormatting sqref="H57">
    <cfRule type="cellIs" dxfId="536" priority="1033" operator="equal">
      <formula>"진행중"</formula>
    </cfRule>
    <cfRule type="cellIs" dxfId="535" priority="1034" operator="equal">
      <formula>"예정"</formula>
    </cfRule>
    <cfRule type="cellIs" dxfId="534" priority="1035" operator="equal">
      <formula>"완료"</formula>
    </cfRule>
  </conditionalFormatting>
  <conditionalFormatting sqref="H58">
    <cfRule type="cellIs" dxfId="533" priority="1030" operator="equal">
      <formula>"진행중"</formula>
    </cfRule>
    <cfRule type="cellIs" dxfId="532" priority="1031" operator="equal">
      <formula>"예정"</formula>
    </cfRule>
    <cfRule type="cellIs" dxfId="531" priority="1032" operator="equal">
      <formula>"완료"</formula>
    </cfRule>
  </conditionalFormatting>
  <conditionalFormatting sqref="H59">
    <cfRule type="cellIs" dxfId="530" priority="1027" operator="equal">
      <formula>"진행중"</formula>
    </cfRule>
    <cfRule type="cellIs" dxfId="529" priority="1028" operator="equal">
      <formula>"예정"</formula>
    </cfRule>
    <cfRule type="cellIs" dxfId="528" priority="1029" operator="equal">
      <formula>"완료"</formula>
    </cfRule>
  </conditionalFormatting>
  <conditionalFormatting sqref="H60">
    <cfRule type="cellIs" dxfId="527" priority="1024" operator="equal">
      <formula>"진행중"</formula>
    </cfRule>
    <cfRule type="cellIs" dxfId="526" priority="1025" operator="equal">
      <formula>"예정"</formula>
    </cfRule>
    <cfRule type="cellIs" dxfId="525" priority="1026" operator="equal">
      <formula>"완료"</formula>
    </cfRule>
  </conditionalFormatting>
  <conditionalFormatting sqref="H61">
    <cfRule type="cellIs" dxfId="524" priority="1021" operator="equal">
      <formula>"진행중"</formula>
    </cfRule>
    <cfRule type="cellIs" dxfId="523" priority="1022" operator="equal">
      <formula>"예정"</formula>
    </cfRule>
    <cfRule type="cellIs" dxfId="522" priority="1023" operator="equal">
      <formula>"완료"</formula>
    </cfRule>
  </conditionalFormatting>
  <conditionalFormatting sqref="H62">
    <cfRule type="cellIs" dxfId="521" priority="1018" operator="equal">
      <formula>"진행중"</formula>
    </cfRule>
    <cfRule type="cellIs" dxfId="520" priority="1019" operator="equal">
      <formula>"예정"</formula>
    </cfRule>
    <cfRule type="cellIs" dxfId="519" priority="1020" operator="equal">
      <formula>"완료"</formula>
    </cfRule>
  </conditionalFormatting>
  <conditionalFormatting sqref="H63">
    <cfRule type="cellIs" dxfId="518" priority="1015" operator="equal">
      <formula>"진행중"</formula>
    </cfRule>
    <cfRule type="cellIs" dxfId="517" priority="1016" operator="equal">
      <formula>"예정"</formula>
    </cfRule>
    <cfRule type="cellIs" dxfId="516" priority="1017" operator="equal">
      <formula>"완료"</formula>
    </cfRule>
  </conditionalFormatting>
  <conditionalFormatting sqref="H64">
    <cfRule type="cellIs" dxfId="515" priority="1012" operator="equal">
      <formula>"진행중"</formula>
    </cfRule>
    <cfRule type="cellIs" dxfId="514" priority="1013" operator="equal">
      <formula>"예정"</formula>
    </cfRule>
    <cfRule type="cellIs" dxfId="513" priority="1014" operator="equal">
      <formula>"완료"</formula>
    </cfRule>
  </conditionalFormatting>
  <conditionalFormatting sqref="H65">
    <cfRule type="cellIs" dxfId="512" priority="1009" operator="equal">
      <formula>"진행중"</formula>
    </cfRule>
    <cfRule type="cellIs" dxfId="511" priority="1010" operator="equal">
      <formula>"예정"</formula>
    </cfRule>
    <cfRule type="cellIs" dxfId="510" priority="1011" operator="equal">
      <formula>"완료"</formula>
    </cfRule>
  </conditionalFormatting>
  <conditionalFormatting sqref="H66">
    <cfRule type="cellIs" dxfId="509" priority="1006" operator="equal">
      <formula>"진행중"</formula>
    </cfRule>
    <cfRule type="cellIs" dxfId="508" priority="1007" operator="equal">
      <formula>"예정"</formula>
    </cfRule>
    <cfRule type="cellIs" dxfId="507" priority="1008" operator="equal">
      <formula>"완료"</formula>
    </cfRule>
  </conditionalFormatting>
  <conditionalFormatting sqref="H67">
    <cfRule type="cellIs" dxfId="506" priority="1003" operator="equal">
      <formula>"진행중"</formula>
    </cfRule>
    <cfRule type="cellIs" dxfId="505" priority="1004" operator="equal">
      <formula>"예정"</formula>
    </cfRule>
    <cfRule type="cellIs" dxfId="504" priority="1005" operator="equal">
      <formula>"완료"</formula>
    </cfRule>
  </conditionalFormatting>
  <conditionalFormatting sqref="H68">
    <cfRule type="cellIs" dxfId="503" priority="1000" operator="equal">
      <formula>"진행중"</formula>
    </cfRule>
    <cfRule type="cellIs" dxfId="502" priority="1001" operator="equal">
      <formula>"예정"</formula>
    </cfRule>
    <cfRule type="cellIs" dxfId="501" priority="1002" operator="equal">
      <formula>"완료"</formula>
    </cfRule>
  </conditionalFormatting>
  <conditionalFormatting sqref="H69">
    <cfRule type="cellIs" dxfId="500" priority="997" operator="equal">
      <formula>"진행중"</formula>
    </cfRule>
    <cfRule type="cellIs" dxfId="499" priority="998" operator="equal">
      <formula>"예정"</formula>
    </cfRule>
    <cfRule type="cellIs" dxfId="498" priority="999" operator="equal">
      <formula>"완료"</formula>
    </cfRule>
  </conditionalFormatting>
  <conditionalFormatting sqref="H70">
    <cfRule type="cellIs" dxfId="497" priority="994" operator="equal">
      <formula>"진행중"</formula>
    </cfRule>
    <cfRule type="cellIs" dxfId="496" priority="995" operator="equal">
      <formula>"예정"</formula>
    </cfRule>
    <cfRule type="cellIs" dxfId="495" priority="996" operator="equal">
      <formula>"완료"</formula>
    </cfRule>
  </conditionalFormatting>
  <conditionalFormatting sqref="H71">
    <cfRule type="cellIs" dxfId="494" priority="991" operator="equal">
      <formula>"진행중"</formula>
    </cfRule>
    <cfRule type="cellIs" dxfId="493" priority="992" operator="equal">
      <formula>"예정"</formula>
    </cfRule>
    <cfRule type="cellIs" dxfId="492" priority="993" operator="equal">
      <formula>"완료"</formula>
    </cfRule>
  </conditionalFormatting>
  <conditionalFormatting sqref="H72">
    <cfRule type="cellIs" dxfId="491" priority="988" operator="equal">
      <formula>"진행중"</formula>
    </cfRule>
    <cfRule type="cellIs" dxfId="490" priority="989" operator="equal">
      <formula>"예정"</formula>
    </cfRule>
    <cfRule type="cellIs" dxfId="489" priority="990" operator="equal">
      <formula>"완료"</formula>
    </cfRule>
  </conditionalFormatting>
  <conditionalFormatting sqref="H73">
    <cfRule type="cellIs" dxfId="488" priority="985" operator="equal">
      <formula>"진행중"</formula>
    </cfRule>
    <cfRule type="cellIs" dxfId="487" priority="986" operator="equal">
      <formula>"예정"</formula>
    </cfRule>
    <cfRule type="cellIs" dxfId="486" priority="987" operator="equal">
      <formula>"완료"</formula>
    </cfRule>
  </conditionalFormatting>
  <conditionalFormatting sqref="H74">
    <cfRule type="cellIs" dxfId="485" priority="982" operator="equal">
      <formula>"진행중"</formula>
    </cfRule>
    <cfRule type="cellIs" dxfId="484" priority="983" operator="equal">
      <formula>"예정"</formula>
    </cfRule>
    <cfRule type="cellIs" dxfId="483" priority="984" operator="equal">
      <formula>"완료"</formula>
    </cfRule>
  </conditionalFormatting>
  <conditionalFormatting sqref="H75">
    <cfRule type="cellIs" dxfId="482" priority="979" operator="equal">
      <formula>"진행중"</formula>
    </cfRule>
    <cfRule type="cellIs" dxfId="481" priority="980" operator="equal">
      <formula>"예정"</formula>
    </cfRule>
    <cfRule type="cellIs" dxfId="480" priority="981" operator="equal">
      <formula>"완료"</formula>
    </cfRule>
  </conditionalFormatting>
  <conditionalFormatting sqref="H76">
    <cfRule type="cellIs" dxfId="479" priority="976" operator="equal">
      <formula>"진행중"</formula>
    </cfRule>
    <cfRule type="cellIs" dxfId="478" priority="977" operator="equal">
      <formula>"예정"</formula>
    </cfRule>
    <cfRule type="cellIs" dxfId="477" priority="978" operator="equal">
      <formula>"완료"</formula>
    </cfRule>
  </conditionalFormatting>
  <conditionalFormatting sqref="H77">
    <cfRule type="cellIs" dxfId="476" priority="973" operator="equal">
      <formula>"진행중"</formula>
    </cfRule>
    <cfRule type="cellIs" dxfId="475" priority="974" operator="equal">
      <formula>"예정"</formula>
    </cfRule>
    <cfRule type="cellIs" dxfId="474" priority="975" operator="equal">
      <formula>"완료"</formula>
    </cfRule>
  </conditionalFormatting>
  <conditionalFormatting sqref="H78">
    <cfRule type="cellIs" dxfId="473" priority="970" operator="equal">
      <formula>"진행중"</formula>
    </cfRule>
    <cfRule type="cellIs" dxfId="472" priority="971" operator="equal">
      <formula>"예정"</formula>
    </cfRule>
    <cfRule type="cellIs" dxfId="471" priority="972" operator="equal">
      <formula>"완료"</formula>
    </cfRule>
  </conditionalFormatting>
  <conditionalFormatting sqref="H79">
    <cfRule type="cellIs" dxfId="470" priority="967" operator="equal">
      <formula>"진행중"</formula>
    </cfRule>
    <cfRule type="cellIs" dxfId="469" priority="968" operator="equal">
      <formula>"예정"</formula>
    </cfRule>
    <cfRule type="cellIs" dxfId="468" priority="969" operator="equal">
      <formula>"완료"</formula>
    </cfRule>
  </conditionalFormatting>
  <conditionalFormatting sqref="H80">
    <cfRule type="cellIs" dxfId="467" priority="964" operator="equal">
      <formula>"진행중"</formula>
    </cfRule>
    <cfRule type="cellIs" dxfId="466" priority="965" operator="equal">
      <formula>"예정"</formula>
    </cfRule>
    <cfRule type="cellIs" dxfId="465" priority="966" operator="equal">
      <formula>"완료"</formula>
    </cfRule>
  </conditionalFormatting>
  <conditionalFormatting sqref="H81">
    <cfRule type="cellIs" dxfId="464" priority="961" operator="equal">
      <formula>"진행중"</formula>
    </cfRule>
    <cfRule type="cellIs" dxfId="463" priority="962" operator="equal">
      <formula>"예정"</formula>
    </cfRule>
    <cfRule type="cellIs" dxfId="462" priority="963" operator="equal">
      <formula>"완료"</formula>
    </cfRule>
  </conditionalFormatting>
  <conditionalFormatting sqref="H82">
    <cfRule type="cellIs" dxfId="461" priority="958" operator="equal">
      <formula>"진행중"</formula>
    </cfRule>
    <cfRule type="cellIs" dxfId="460" priority="959" operator="equal">
      <formula>"예정"</formula>
    </cfRule>
    <cfRule type="cellIs" dxfId="459" priority="960" operator="equal">
      <formula>"완료"</formula>
    </cfRule>
  </conditionalFormatting>
  <conditionalFormatting sqref="H83">
    <cfRule type="cellIs" dxfId="458" priority="955" operator="equal">
      <formula>"진행중"</formula>
    </cfRule>
    <cfRule type="cellIs" dxfId="457" priority="956" operator="equal">
      <formula>"예정"</formula>
    </cfRule>
    <cfRule type="cellIs" dxfId="456" priority="957" operator="equal">
      <formula>"완료"</formula>
    </cfRule>
  </conditionalFormatting>
  <conditionalFormatting sqref="H84">
    <cfRule type="cellIs" dxfId="455" priority="949" operator="equal">
      <formula>"진행중"</formula>
    </cfRule>
    <cfRule type="cellIs" dxfId="454" priority="950" operator="equal">
      <formula>"예정"</formula>
    </cfRule>
    <cfRule type="cellIs" dxfId="453" priority="951" operator="equal">
      <formula>"완료"</formula>
    </cfRule>
  </conditionalFormatting>
  <conditionalFormatting sqref="H85">
    <cfRule type="cellIs" dxfId="452" priority="946" operator="equal">
      <formula>"진행중"</formula>
    </cfRule>
    <cfRule type="cellIs" dxfId="451" priority="947" operator="equal">
      <formula>"예정"</formula>
    </cfRule>
    <cfRule type="cellIs" dxfId="450" priority="948" operator="equal">
      <formula>"완료"</formula>
    </cfRule>
  </conditionalFormatting>
  <conditionalFormatting sqref="H86">
    <cfRule type="cellIs" dxfId="449" priority="943" operator="equal">
      <formula>"진행중"</formula>
    </cfRule>
    <cfRule type="cellIs" dxfId="448" priority="944" operator="equal">
      <formula>"예정"</formula>
    </cfRule>
    <cfRule type="cellIs" dxfId="447" priority="945" operator="equal">
      <formula>"완료"</formula>
    </cfRule>
  </conditionalFormatting>
  <conditionalFormatting sqref="H87">
    <cfRule type="cellIs" dxfId="446" priority="940" operator="equal">
      <formula>"진행중"</formula>
    </cfRule>
    <cfRule type="cellIs" dxfId="445" priority="941" operator="equal">
      <formula>"예정"</formula>
    </cfRule>
    <cfRule type="cellIs" dxfId="444" priority="942" operator="equal">
      <formula>"완료"</formula>
    </cfRule>
  </conditionalFormatting>
  <conditionalFormatting sqref="H88">
    <cfRule type="cellIs" dxfId="443" priority="937" operator="equal">
      <formula>"진행중"</formula>
    </cfRule>
    <cfRule type="cellIs" dxfId="442" priority="938" operator="equal">
      <formula>"예정"</formula>
    </cfRule>
    <cfRule type="cellIs" dxfId="441" priority="939" operator="equal">
      <formula>"완료"</formula>
    </cfRule>
  </conditionalFormatting>
  <conditionalFormatting sqref="H89">
    <cfRule type="cellIs" dxfId="440" priority="934" operator="equal">
      <formula>"진행중"</formula>
    </cfRule>
    <cfRule type="cellIs" dxfId="439" priority="935" operator="equal">
      <formula>"예정"</formula>
    </cfRule>
    <cfRule type="cellIs" dxfId="438" priority="936" operator="equal">
      <formula>"완료"</formula>
    </cfRule>
  </conditionalFormatting>
  <conditionalFormatting sqref="H90">
    <cfRule type="cellIs" dxfId="437" priority="931" operator="equal">
      <formula>"진행중"</formula>
    </cfRule>
    <cfRule type="cellIs" dxfId="436" priority="932" operator="equal">
      <formula>"예정"</formula>
    </cfRule>
    <cfRule type="cellIs" dxfId="435" priority="933" operator="equal">
      <formula>"완료"</formula>
    </cfRule>
  </conditionalFormatting>
  <conditionalFormatting sqref="H91">
    <cfRule type="cellIs" dxfId="434" priority="928" operator="equal">
      <formula>"진행중"</formula>
    </cfRule>
    <cfRule type="cellIs" dxfId="433" priority="929" operator="equal">
      <formula>"예정"</formula>
    </cfRule>
    <cfRule type="cellIs" dxfId="432" priority="930" operator="equal">
      <formula>"완료"</formula>
    </cfRule>
  </conditionalFormatting>
  <conditionalFormatting sqref="H92">
    <cfRule type="cellIs" dxfId="431" priority="925" operator="equal">
      <formula>"진행중"</formula>
    </cfRule>
    <cfRule type="cellIs" dxfId="430" priority="926" operator="equal">
      <formula>"예정"</formula>
    </cfRule>
    <cfRule type="cellIs" dxfId="429" priority="927" operator="equal">
      <formula>"완료"</formula>
    </cfRule>
  </conditionalFormatting>
  <conditionalFormatting sqref="H93">
    <cfRule type="cellIs" dxfId="428" priority="922" operator="equal">
      <formula>"진행중"</formula>
    </cfRule>
    <cfRule type="cellIs" dxfId="427" priority="923" operator="equal">
      <formula>"예정"</formula>
    </cfRule>
    <cfRule type="cellIs" dxfId="426" priority="924" operator="equal">
      <formula>"완료"</formula>
    </cfRule>
  </conditionalFormatting>
  <conditionalFormatting sqref="H94">
    <cfRule type="cellIs" dxfId="425" priority="919" operator="equal">
      <formula>"진행중"</formula>
    </cfRule>
    <cfRule type="cellIs" dxfId="424" priority="920" operator="equal">
      <formula>"예정"</formula>
    </cfRule>
    <cfRule type="cellIs" dxfId="423" priority="921" operator="equal">
      <formula>"완료"</formula>
    </cfRule>
  </conditionalFormatting>
  <conditionalFormatting sqref="H95">
    <cfRule type="cellIs" dxfId="422" priority="916" operator="equal">
      <formula>"진행중"</formula>
    </cfRule>
    <cfRule type="cellIs" dxfId="421" priority="917" operator="equal">
      <formula>"예정"</formula>
    </cfRule>
    <cfRule type="cellIs" dxfId="420" priority="918" operator="equal">
      <formula>"완료"</formula>
    </cfRule>
  </conditionalFormatting>
  <conditionalFormatting sqref="H96">
    <cfRule type="cellIs" dxfId="419" priority="913" operator="equal">
      <formula>"진행중"</formula>
    </cfRule>
    <cfRule type="cellIs" dxfId="418" priority="914" operator="equal">
      <formula>"예정"</formula>
    </cfRule>
    <cfRule type="cellIs" dxfId="417" priority="915" operator="equal">
      <formula>"완료"</formula>
    </cfRule>
  </conditionalFormatting>
  <conditionalFormatting sqref="H97">
    <cfRule type="cellIs" dxfId="416" priority="910" operator="equal">
      <formula>"진행중"</formula>
    </cfRule>
    <cfRule type="cellIs" dxfId="415" priority="911" operator="equal">
      <formula>"예정"</formula>
    </cfRule>
    <cfRule type="cellIs" dxfId="414" priority="912" operator="equal">
      <formula>"완료"</formula>
    </cfRule>
  </conditionalFormatting>
  <conditionalFormatting sqref="H98">
    <cfRule type="cellIs" dxfId="413" priority="907" operator="equal">
      <formula>"진행중"</formula>
    </cfRule>
    <cfRule type="cellIs" dxfId="412" priority="908" operator="equal">
      <formula>"예정"</formula>
    </cfRule>
    <cfRule type="cellIs" dxfId="411" priority="909" operator="equal">
      <formula>"완료"</formula>
    </cfRule>
  </conditionalFormatting>
  <conditionalFormatting sqref="H99">
    <cfRule type="cellIs" dxfId="410" priority="904" operator="equal">
      <formula>"진행중"</formula>
    </cfRule>
    <cfRule type="cellIs" dxfId="409" priority="905" operator="equal">
      <formula>"예정"</formula>
    </cfRule>
    <cfRule type="cellIs" dxfId="408" priority="906" operator="equal">
      <formula>"완료"</formula>
    </cfRule>
  </conditionalFormatting>
  <conditionalFormatting sqref="H100">
    <cfRule type="cellIs" dxfId="407" priority="901" operator="equal">
      <formula>"진행중"</formula>
    </cfRule>
    <cfRule type="cellIs" dxfId="406" priority="902" operator="equal">
      <formula>"예정"</formula>
    </cfRule>
    <cfRule type="cellIs" dxfId="405" priority="903" operator="equal">
      <formula>"완료"</formula>
    </cfRule>
  </conditionalFormatting>
  <conditionalFormatting sqref="H101">
    <cfRule type="cellIs" dxfId="404" priority="898" operator="equal">
      <formula>"진행중"</formula>
    </cfRule>
    <cfRule type="cellIs" dxfId="403" priority="899" operator="equal">
      <formula>"예정"</formula>
    </cfRule>
    <cfRule type="cellIs" dxfId="402" priority="900" operator="equal">
      <formula>"완료"</formula>
    </cfRule>
  </conditionalFormatting>
  <conditionalFormatting sqref="H102">
    <cfRule type="cellIs" dxfId="401" priority="895" operator="equal">
      <formula>"진행중"</formula>
    </cfRule>
    <cfRule type="cellIs" dxfId="400" priority="896" operator="equal">
      <formula>"예정"</formula>
    </cfRule>
    <cfRule type="cellIs" dxfId="399" priority="897" operator="equal">
      <formula>"완료"</formula>
    </cfRule>
  </conditionalFormatting>
  <conditionalFormatting sqref="H103">
    <cfRule type="cellIs" dxfId="398" priority="892" operator="equal">
      <formula>"진행중"</formula>
    </cfRule>
    <cfRule type="cellIs" dxfId="397" priority="893" operator="equal">
      <formula>"예정"</formula>
    </cfRule>
    <cfRule type="cellIs" dxfId="396" priority="894" operator="equal">
      <formula>"완료"</formula>
    </cfRule>
  </conditionalFormatting>
  <conditionalFormatting sqref="H104">
    <cfRule type="cellIs" dxfId="395" priority="889" operator="equal">
      <formula>"진행중"</formula>
    </cfRule>
    <cfRule type="cellIs" dxfId="394" priority="890" operator="equal">
      <formula>"예정"</formula>
    </cfRule>
    <cfRule type="cellIs" dxfId="393" priority="891" operator="equal">
      <formula>"완료"</formula>
    </cfRule>
  </conditionalFormatting>
  <conditionalFormatting sqref="H105">
    <cfRule type="cellIs" dxfId="392" priority="886" operator="equal">
      <formula>"진행중"</formula>
    </cfRule>
    <cfRule type="cellIs" dxfId="391" priority="887" operator="equal">
      <formula>"예정"</formula>
    </cfRule>
    <cfRule type="cellIs" dxfId="390" priority="888" operator="equal">
      <formula>"완료"</formula>
    </cfRule>
  </conditionalFormatting>
  <conditionalFormatting sqref="H106">
    <cfRule type="cellIs" dxfId="389" priority="883" operator="equal">
      <formula>"진행중"</formula>
    </cfRule>
    <cfRule type="cellIs" dxfId="388" priority="884" operator="equal">
      <formula>"예정"</formula>
    </cfRule>
    <cfRule type="cellIs" dxfId="387" priority="885" operator="equal">
      <formula>"완료"</formula>
    </cfRule>
  </conditionalFormatting>
  <conditionalFormatting sqref="H107">
    <cfRule type="cellIs" dxfId="386" priority="880" operator="equal">
      <formula>"진행중"</formula>
    </cfRule>
    <cfRule type="cellIs" dxfId="385" priority="881" operator="equal">
      <formula>"예정"</formula>
    </cfRule>
    <cfRule type="cellIs" dxfId="384" priority="882" operator="equal">
      <formula>"완료"</formula>
    </cfRule>
  </conditionalFormatting>
  <conditionalFormatting sqref="H108">
    <cfRule type="cellIs" dxfId="383" priority="877" operator="equal">
      <formula>"진행중"</formula>
    </cfRule>
    <cfRule type="cellIs" dxfId="382" priority="878" operator="equal">
      <formula>"예정"</formula>
    </cfRule>
    <cfRule type="cellIs" dxfId="381" priority="879" operator="equal">
      <formula>"완료"</formula>
    </cfRule>
  </conditionalFormatting>
  <conditionalFormatting sqref="H109">
    <cfRule type="cellIs" dxfId="380" priority="874" operator="equal">
      <formula>"진행중"</formula>
    </cfRule>
    <cfRule type="cellIs" dxfId="379" priority="875" operator="equal">
      <formula>"예정"</formula>
    </cfRule>
    <cfRule type="cellIs" dxfId="378" priority="876" operator="equal">
      <formula>"완료"</formula>
    </cfRule>
  </conditionalFormatting>
  <conditionalFormatting sqref="H110">
    <cfRule type="cellIs" dxfId="377" priority="871" operator="equal">
      <formula>"진행중"</formula>
    </cfRule>
    <cfRule type="cellIs" dxfId="376" priority="872" operator="equal">
      <formula>"예정"</formula>
    </cfRule>
    <cfRule type="cellIs" dxfId="375" priority="873" operator="equal">
      <formula>"완료"</formula>
    </cfRule>
  </conditionalFormatting>
  <conditionalFormatting sqref="H111">
    <cfRule type="cellIs" dxfId="374" priority="868" operator="equal">
      <formula>"진행중"</formula>
    </cfRule>
    <cfRule type="cellIs" dxfId="373" priority="869" operator="equal">
      <formula>"예정"</formula>
    </cfRule>
    <cfRule type="cellIs" dxfId="372" priority="870" operator="equal">
      <formula>"완료"</formula>
    </cfRule>
  </conditionalFormatting>
  <conditionalFormatting sqref="H112">
    <cfRule type="cellIs" dxfId="371" priority="865" operator="equal">
      <formula>"진행중"</formula>
    </cfRule>
    <cfRule type="cellIs" dxfId="370" priority="866" operator="equal">
      <formula>"예정"</formula>
    </cfRule>
    <cfRule type="cellIs" dxfId="369" priority="867" operator="equal">
      <formula>"완료"</formula>
    </cfRule>
  </conditionalFormatting>
  <conditionalFormatting sqref="H113">
    <cfRule type="cellIs" dxfId="368" priority="862" operator="equal">
      <formula>"진행중"</formula>
    </cfRule>
    <cfRule type="cellIs" dxfId="367" priority="863" operator="equal">
      <formula>"예정"</formula>
    </cfRule>
    <cfRule type="cellIs" dxfId="366" priority="864" operator="equal">
      <formula>"완료"</formula>
    </cfRule>
  </conditionalFormatting>
  <conditionalFormatting sqref="H114">
    <cfRule type="cellIs" dxfId="365" priority="859" operator="equal">
      <formula>"진행중"</formula>
    </cfRule>
    <cfRule type="cellIs" dxfId="364" priority="860" operator="equal">
      <formula>"예정"</formula>
    </cfRule>
    <cfRule type="cellIs" dxfId="363" priority="861" operator="equal">
      <formula>"완료"</formula>
    </cfRule>
  </conditionalFormatting>
  <conditionalFormatting sqref="H115">
    <cfRule type="cellIs" dxfId="362" priority="853" operator="equal">
      <formula>"진행중"</formula>
    </cfRule>
    <cfRule type="cellIs" dxfId="361" priority="854" operator="equal">
      <formula>"예정"</formula>
    </cfRule>
    <cfRule type="cellIs" dxfId="360" priority="855" operator="equal">
      <formula>"완료"</formula>
    </cfRule>
  </conditionalFormatting>
  <conditionalFormatting sqref="H116">
    <cfRule type="cellIs" dxfId="359" priority="850" operator="equal">
      <formula>"진행중"</formula>
    </cfRule>
    <cfRule type="cellIs" dxfId="358" priority="851" operator="equal">
      <formula>"예정"</formula>
    </cfRule>
    <cfRule type="cellIs" dxfId="357" priority="852" operator="equal">
      <formula>"완료"</formula>
    </cfRule>
  </conditionalFormatting>
  <conditionalFormatting sqref="H117">
    <cfRule type="cellIs" dxfId="356" priority="847" operator="equal">
      <formula>"진행중"</formula>
    </cfRule>
    <cfRule type="cellIs" dxfId="355" priority="848" operator="equal">
      <formula>"예정"</formula>
    </cfRule>
    <cfRule type="cellIs" dxfId="354" priority="849" operator="equal">
      <formula>"완료"</formula>
    </cfRule>
  </conditionalFormatting>
  <conditionalFormatting sqref="H118">
    <cfRule type="cellIs" dxfId="353" priority="844" operator="equal">
      <formula>"진행중"</formula>
    </cfRule>
    <cfRule type="cellIs" dxfId="352" priority="845" operator="equal">
      <formula>"예정"</formula>
    </cfRule>
    <cfRule type="cellIs" dxfId="351" priority="846" operator="equal">
      <formula>"완료"</formula>
    </cfRule>
  </conditionalFormatting>
  <conditionalFormatting sqref="H119">
    <cfRule type="cellIs" dxfId="350" priority="841" operator="equal">
      <formula>"진행중"</formula>
    </cfRule>
    <cfRule type="cellIs" dxfId="349" priority="842" operator="equal">
      <formula>"예정"</formula>
    </cfRule>
    <cfRule type="cellIs" dxfId="348" priority="843" operator="equal">
      <formula>"완료"</formula>
    </cfRule>
  </conditionalFormatting>
  <conditionalFormatting sqref="H120">
    <cfRule type="cellIs" dxfId="347" priority="838" operator="equal">
      <formula>"진행중"</formula>
    </cfRule>
    <cfRule type="cellIs" dxfId="346" priority="839" operator="equal">
      <formula>"예정"</formula>
    </cfRule>
    <cfRule type="cellIs" dxfId="345" priority="840" operator="equal">
      <formula>"완료"</formula>
    </cfRule>
  </conditionalFormatting>
  <conditionalFormatting sqref="H121">
    <cfRule type="cellIs" dxfId="344" priority="835" operator="equal">
      <formula>"진행중"</formula>
    </cfRule>
    <cfRule type="cellIs" dxfId="343" priority="836" operator="equal">
      <formula>"예정"</formula>
    </cfRule>
    <cfRule type="cellIs" dxfId="342" priority="837" operator="equal">
      <formula>"완료"</formula>
    </cfRule>
  </conditionalFormatting>
  <conditionalFormatting sqref="H122">
    <cfRule type="cellIs" dxfId="341" priority="832" operator="equal">
      <formula>"진행중"</formula>
    </cfRule>
    <cfRule type="cellIs" dxfId="340" priority="833" operator="equal">
      <formula>"예정"</formula>
    </cfRule>
    <cfRule type="cellIs" dxfId="339" priority="834" operator="equal">
      <formula>"완료"</formula>
    </cfRule>
  </conditionalFormatting>
  <conditionalFormatting sqref="H123">
    <cfRule type="cellIs" dxfId="338" priority="829" operator="equal">
      <formula>"진행중"</formula>
    </cfRule>
    <cfRule type="cellIs" dxfId="337" priority="830" operator="equal">
      <formula>"예정"</formula>
    </cfRule>
    <cfRule type="cellIs" dxfId="336" priority="831" operator="equal">
      <formula>"완료"</formula>
    </cfRule>
  </conditionalFormatting>
  <conditionalFormatting sqref="H124">
    <cfRule type="cellIs" dxfId="335" priority="826" operator="equal">
      <formula>"진행중"</formula>
    </cfRule>
    <cfRule type="cellIs" dxfId="334" priority="827" operator="equal">
      <formula>"예정"</formula>
    </cfRule>
    <cfRule type="cellIs" dxfId="333" priority="828" operator="equal">
      <formula>"완료"</formula>
    </cfRule>
  </conditionalFormatting>
  <conditionalFormatting sqref="H125">
    <cfRule type="cellIs" dxfId="332" priority="823" operator="equal">
      <formula>"진행중"</formula>
    </cfRule>
    <cfRule type="cellIs" dxfId="331" priority="824" operator="equal">
      <formula>"예정"</formula>
    </cfRule>
    <cfRule type="cellIs" dxfId="330" priority="825" operator="equal">
      <formula>"완료"</formula>
    </cfRule>
  </conditionalFormatting>
  <conditionalFormatting sqref="H126">
    <cfRule type="cellIs" dxfId="329" priority="820" operator="equal">
      <formula>"진행중"</formula>
    </cfRule>
    <cfRule type="cellIs" dxfId="328" priority="821" operator="equal">
      <formula>"예정"</formula>
    </cfRule>
    <cfRule type="cellIs" dxfId="327" priority="822" operator="equal">
      <formula>"완료"</formula>
    </cfRule>
  </conditionalFormatting>
  <conditionalFormatting sqref="H127">
    <cfRule type="cellIs" dxfId="326" priority="817" operator="equal">
      <formula>"진행중"</formula>
    </cfRule>
    <cfRule type="cellIs" dxfId="325" priority="818" operator="equal">
      <formula>"예정"</formula>
    </cfRule>
    <cfRule type="cellIs" dxfId="324" priority="819" operator="equal">
      <formula>"완료"</formula>
    </cfRule>
  </conditionalFormatting>
  <conditionalFormatting sqref="H128">
    <cfRule type="cellIs" dxfId="323" priority="814" operator="equal">
      <formula>"진행중"</formula>
    </cfRule>
    <cfRule type="cellIs" dxfId="322" priority="815" operator="equal">
      <formula>"예정"</formula>
    </cfRule>
    <cfRule type="cellIs" dxfId="321" priority="816" operator="equal">
      <formula>"완료"</formula>
    </cfRule>
  </conditionalFormatting>
  <conditionalFormatting sqref="H129">
    <cfRule type="cellIs" dxfId="320" priority="811" operator="equal">
      <formula>"진행중"</formula>
    </cfRule>
    <cfRule type="cellIs" dxfId="319" priority="812" operator="equal">
      <formula>"예정"</formula>
    </cfRule>
    <cfRule type="cellIs" dxfId="318" priority="813" operator="equal">
      <formula>"완료"</formula>
    </cfRule>
  </conditionalFormatting>
  <conditionalFormatting sqref="H130">
    <cfRule type="cellIs" dxfId="317" priority="808" operator="equal">
      <formula>"진행중"</formula>
    </cfRule>
    <cfRule type="cellIs" dxfId="316" priority="809" operator="equal">
      <formula>"예정"</formula>
    </cfRule>
    <cfRule type="cellIs" dxfId="315" priority="810" operator="equal">
      <formula>"완료"</formula>
    </cfRule>
  </conditionalFormatting>
  <conditionalFormatting sqref="H131">
    <cfRule type="cellIs" dxfId="314" priority="805" operator="equal">
      <formula>"진행중"</formula>
    </cfRule>
    <cfRule type="cellIs" dxfId="313" priority="806" operator="equal">
      <formula>"예정"</formula>
    </cfRule>
    <cfRule type="cellIs" dxfId="312" priority="807" operator="equal">
      <formula>"완료"</formula>
    </cfRule>
  </conditionalFormatting>
  <conditionalFormatting sqref="H132">
    <cfRule type="cellIs" dxfId="311" priority="802" operator="equal">
      <formula>"진행중"</formula>
    </cfRule>
    <cfRule type="cellIs" dxfId="310" priority="803" operator="equal">
      <formula>"예정"</formula>
    </cfRule>
    <cfRule type="cellIs" dxfId="309" priority="804" operator="equal">
      <formula>"완료"</formula>
    </cfRule>
  </conditionalFormatting>
  <conditionalFormatting sqref="H133">
    <cfRule type="cellIs" dxfId="308" priority="799" operator="equal">
      <formula>"진행중"</formula>
    </cfRule>
    <cfRule type="cellIs" dxfId="307" priority="800" operator="equal">
      <formula>"예정"</formula>
    </cfRule>
    <cfRule type="cellIs" dxfId="306" priority="801" operator="equal">
      <formula>"완료"</formula>
    </cfRule>
  </conditionalFormatting>
  <conditionalFormatting sqref="H134">
    <cfRule type="cellIs" dxfId="305" priority="796" operator="equal">
      <formula>"진행중"</formula>
    </cfRule>
    <cfRule type="cellIs" dxfId="304" priority="797" operator="equal">
      <formula>"예정"</formula>
    </cfRule>
    <cfRule type="cellIs" dxfId="303" priority="798" operator="equal">
      <formula>"완료"</formula>
    </cfRule>
  </conditionalFormatting>
  <conditionalFormatting sqref="H135">
    <cfRule type="cellIs" dxfId="302" priority="793" operator="equal">
      <formula>"진행중"</formula>
    </cfRule>
    <cfRule type="cellIs" dxfId="301" priority="794" operator="equal">
      <formula>"예정"</formula>
    </cfRule>
    <cfRule type="cellIs" dxfId="300" priority="795" operator="equal">
      <formula>"완료"</formula>
    </cfRule>
  </conditionalFormatting>
  <conditionalFormatting sqref="H136">
    <cfRule type="cellIs" dxfId="299" priority="790" operator="equal">
      <formula>"진행중"</formula>
    </cfRule>
    <cfRule type="cellIs" dxfId="298" priority="791" operator="equal">
      <formula>"예정"</formula>
    </cfRule>
    <cfRule type="cellIs" dxfId="297" priority="792" operator="equal">
      <formula>"완료"</formula>
    </cfRule>
  </conditionalFormatting>
  <conditionalFormatting sqref="H137">
    <cfRule type="cellIs" dxfId="296" priority="787" operator="equal">
      <formula>"진행중"</formula>
    </cfRule>
    <cfRule type="cellIs" dxfId="295" priority="788" operator="equal">
      <formula>"예정"</formula>
    </cfRule>
    <cfRule type="cellIs" dxfId="294" priority="789" operator="equal">
      <formula>"완료"</formula>
    </cfRule>
  </conditionalFormatting>
  <conditionalFormatting sqref="I7">
    <cfRule type="dataBar" priority="78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{7DF9AEDB-06E1-4955-A626-23521E81EB98}</x14:id>
        </ext>
      </extLst>
    </cfRule>
  </conditionalFormatting>
  <conditionalFormatting sqref="I8">
    <cfRule type="dataBar" priority="78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{505F937C-5FA0-4EFA-81EF-CAD617343790}</x14:id>
        </ext>
      </extLst>
    </cfRule>
  </conditionalFormatting>
  <conditionalFormatting sqref="I9">
    <cfRule type="dataBar" priority="78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{BFBD91DF-68D5-4FF7-9F34-CF15444EFC11}</x14:id>
        </ext>
      </extLst>
    </cfRule>
  </conditionalFormatting>
  <conditionalFormatting sqref="I10">
    <cfRule type="dataBar" priority="78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{F4670CFB-EC7C-4D23-B43A-A862BC2E4788}</x14:id>
        </ext>
      </extLst>
    </cfRule>
  </conditionalFormatting>
  <conditionalFormatting sqref="I11">
    <cfRule type="dataBar" priority="78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{8728323A-087D-4A2A-92C1-83461BCF540D}</x14:id>
        </ext>
      </extLst>
    </cfRule>
  </conditionalFormatting>
  <conditionalFormatting sqref="I12">
    <cfRule type="dataBar" priority="78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{EBF440BF-38C7-44C5-9A6C-8D9D0354A282}</x14:id>
        </ext>
      </extLst>
    </cfRule>
  </conditionalFormatting>
  <conditionalFormatting sqref="I13">
    <cfRule type="dataBar" priority="78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{87A4BBFA-3614-4A33-842B-AA1946CC9251}</x14:id>
        </ext>
      </extLst>
    </cfRule>
  </conditionalFormatting>
  <conditionalFormatting sqref="I14">
    <cfRule type="dataBar" priority="77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{26888E82-EDFA-41CB-8A3D-E256F6B1E8AD}</x14:id>
        </ext>
      </extLst>
    </cfRule>
  </conditionalFormatting>
  <conditionalFormatting sqref="I15">
    <cfRule type="dataBar" priority="77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{74EBE315-7F01-4512-900B-340B3B11FBED}</x14:id>
        </ext>
      </extLst>
    </cfRule>
  </conditionalFormatting>
  <conditionalFormatting sqref="I16">
    <cfRule type="dataBar" priority="77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{515E14AF-8E72-4527-8A88-7625FC8C993A}</x14:id>
        </ext>
      </extLst>
    </cfRule>
  </conditionalFormatting>
  <conditionalFormatting sqref="I17">
    <cfRule type="dataBar" priority="77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{07902B9B-0809-4805-A3D0-FB8C76909155}</x14:id>
        </ext>
      </extLst>
    </cfRule>
  </conditionalFormatting>
  <conditionalFormatting sqref="I18">
    <cfRule type="dataBar" priority="77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{49E2DF75-5255-49E2-9C7E-1CB4CEE67A29}</x14:id>
        </ext>
      </extLst>
    </cfRule>
  </conditionalFormatting>
  <conditionalFormatting sqref="I19">
    <cfRule type="dataBar" priority="77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{80763E91-0238-4BFD-BBB7-B95497EF73AA}</x14:id>
        </ext>
      </extLst>
    </cfRule>
  </conditionalFormatting>
  <conditionalFormatting sqref="I20">
    <cfRule type="dataBar" priority="77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{764DDF21-B948-4E23-AE81-B19CE7A89563}</x14:id>
        </ext>
      </extLst>
    </cfRule>
  </conditionalFormatting>
  <conditionalFormatting sqref="I21">
    <cfRule type="dataBar" priority="77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{667ABBFA-8FD6-4F97-AEC6-B0D765BBE0F1}</x14:id>
        </ext>
      </extLst>
    </cfRule>
  </conditionalFormatting>
  <conditionalFormatting sqref="I22">
    <cfRule type="dataBar" priority="76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{14391BF6-6DFE-4211-AD0E-C16AB46207BD}</x14:id>
        </ext>
      </extLst>
    </cfRule>
  </conditionalFormatting>
  <conditionalFormatting sqref="I23">
    <cfRule type="dataBar" priority="76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{85CE62DA-2D21-4097-B96D-3508ABCCFA86}</x14:id>
        </ext>
      </extLst>
    </cfRule>
  </conditionalFormatting>
  <conditionalFormatting sqref="I24">
    <cfRule type="dataBar" priority="76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{BAAC0AB6-F51E-4544-8C70-BE267487DE0D}</x14:id>
        </ext>
      </extLst>
    </cfRule>
  </conditionalFormatting>
  <conditionalFormatting sqref="I25">
    <cfRule type="dataBar" priority="76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{9067F1A4-4BE7-4C15-B6D3-2A6FFC0C722B}</x14:id>
        </ext>
      </extLst>
    </cfRule>
  </conditionalFormatting>
  <conditionalFormatting sqref="I26">
    <cfRule type="dataBar" priority="76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{24755D9E-1C89-47DC-A744-E0021A521C2E}</x14:id>
        </ext>
      </extLst>
    </cfRule>
  </conditionalFormatting>
  <conditionalFormatting sqref="I27">
    <cfRule type="dataBar" priority="76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{1BE28F11-1272-4489-BF39-368E1F9EE649}</x14:id>
        </ext>
      </extLst>
    </cfRule>
  </conditionalFormatting>
  <conditionalFormatting sqref="I28">
    <cfRule type="dataBar" priority="76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{B59C81FA-2EFB-4892-A4B1-F1FEAB41678F}</x14:id>
        </ext>
      </extLst>
    </cfRule>
  </conditionalFormatting>
  <conditionalFormatting sqref="I29">
    <cfRule type="dataBar" priority="76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{D01CF8D5-87A6-4206-A944-F4EEAC1184E0}</x14:id>
        </ext>
      </extLst>
    </cfRule>
  </conditionalFormatting>
  <conditionalFormatting sqref="I30">
    <cfRule type="dataBar" priority="75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{A1EAB0B0-8A10-4E44-9984-1594CCF606FA}</x14:id>
        </ext>
      </extLst>
    </cfRule>
  </conditionalFormatting>
  <conditionalFormatting sqref="I31">
    <cfRule type="dataBar" priority="75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{43421CE6-9C25-4922-BE78-81C3508D6026}</x14:id>
        </ext>
      </extLst>
    </cfRule>
  </conditionalFormatting>
  <conditionalFormatting sqref="I32">
    <cfRule type="dataBar" priority="75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{FB507309-1961-4133-947D-677C09AB9BEE}</x14:id>
        </ext>
      </extLst>
    </cfRule>
  </conditionalFormatting>
  <conditionalFormatting sqref="I33">
    <cfRule type="dataBar" priority="75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{EE5449DA-EC14-4E6D-996A-01ADF7C9BA67}</x14:id>
        </ext>
      </extLst>
    </cfRule>
  </conditionalFormatting>
  <conditionalFormatting sqref="I34">
    <cfRule type="dataBar" priority="75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{BF43EB30-28E4-41CC-957B-CCE75E4AC2EC}</x14:id>
        </ext>
      </extLst>
    </cfRule>
  </conditionalFormatting>
  <conditionalFormatting sqref="I35">
    <cfRule type="dataBar" priority="75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{8E136BAE-D075-4625-9005-822FB0F7DEE3}</x14:id>
        </ext>
      </extLst>
    </cfRule>
  </conditionalFormatting>
  <conditionalFormatting sqref="I36">
    <cfRule type="dataBar" priority="75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{55D84A64-3939-42A4-B5EB-462F8A74D2D7}</x14:id>
        </ext>
      </extLst>
    </cfRule>
  </conditionalFormatting>
  <conditionalFormatting sqref="I37">
    <cfRule type="dataBar" priority="75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{30745024-8710-4736-99BC-57B24D5C29C0}</x14:id>
        </ext>
      </extLst>
    </cfRule>
  </conditionalFormatting>
  <conditionalFormatting sqref="I38">
    <cfRule type="dataBar" priority="75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{61BE6170-CD7A-4F88-8F04-1A804221C6AE}</x14:id>
        </ext>
      </extLst>
    </cfRule>
  </conditionalFormatting>
  <conditionalFormatting sqref="I39">
    <cfRule type="dataBar" priority="75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{40B99698-9D4B-4451-B50E-DC1C52D2EF5A}</x14:id>
        </ext>
      </extLst>
    </cfRule>
  </conditionalFormatting>
  <conditionalFormatting sqref="I40">
    <cfRule type="dataBar" priority="74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{CD99EB0B-08B6-4053-A1FC-278B296EF6D1}</x14:id>
        </ext>
      </extLst>
    </cfRule>
  </conditionalFormatting>
  <conditionalFormatting sqref="I41">
    <cfRule type="dataBar" priority="74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{234C39BC-A62F-4D9A-992B-E24EF9B617C0}</x14:id>
        </ext>
      </extLst>
    </cfRule>
  </conditionalFormatting>
  <conditionalFormatting sqref="I42">
    <cfRule type="dataBar" priority="74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{FB0F38A0-55C3-4D7F-970A-03972B02287C}</x14:id>
        </ext>
      </extLst>
    </cfRule>
  </conditionalFormatting>
  <conditionalFormatting sqref="I43">
    <cfRule type="dataBar" priority="74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{39788904-1EFF-44E2-A2F5-DCD6E7B7B9FC}</x14:id>
        </ext>
      </extLst>
    </cfRule>
  </conditionalFormatting>
  <conditionalFormatting sqref="I44">
    <cfRule type="dataBar" priority="74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{A3298EAC-D557-4110-8EC5-E82095B843AB}</x14:id>
        </ext>
      </extLst>
    </cfRule>
  </conditionalFormatting>
  <conditionalFormatting sqref="I45">
    <cfRule type="dataBar" priority="74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{287FBDA6-83AA-4337-8DC8-56FD3779DD8B}</x14:id>
        </ext>
      </extLst>
    </cfRule>
  </conditionalFormatting>
  <conditionalFormatting sqref="I46">
    <cfRule type="dataBar" priority="74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{D5D27007-ADFB-4A61-A5E2-FA55A465F1AE}</x14:id>
        </ext>
      </extLst>
    </cfRule>
  </conditionalFormatting>
  <conditionalFormatting sqref="I47">
    <cfRule type="dataBar" priority="74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{0F57B694-94C1-414B-BD9F-11A193F5AFA9}</x14:id>
        </ext>
      </extLst>
    </cfRule>
  </conditionalFormatting>
  <conditionalFormatting sqref="I48">
    <cfRule type="dataBar" priority="74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{6BF6EF93-6E66-4284-B03E-1EF930995002}</x14:id>
        </ext>
      </extLst>
    </cfRule>
  </conditionalFormatting>
  <conditionalFormatting sqref="I49">
    <cfRule type="dataBar" priority="74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{F539D83E-26AD-4890-910B-90DC04E39AC6}</x14:id>
        </ext>
      </extLst>
    </cfRule>
  </conditionalFormatting>
  <conditionalFormatting sqref="I50">
    <cfRule type="dataBar" priority="73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{A3BB35E5-F17F-4D0C-89D0-A69F77BC92A2}</x14:id>
        </ext>
      </extLst>
    </cfRule>
  </conditionalFormatting>
  <conditionalFormatting sqref="I51">
    <cfRule type="dataBar" priority="73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{F259F28E-BA84-4666-940F-20B34D456A5D}</x14:id>
        </ext>
      </extLst>
    </cfRule>
  </conditionalFormatting>
  <conditionalFormatting sqref="I52">
    <cfRule type="dataBar" priority="73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{B38AABF1-14BD-45C5-8BAB-6D1D15AE0B79}</x14:id>
        </ext>
      </extLst>
    </cfRule>
  </conditionalFormatting>
  <conditionalFormatting sqref="I53">
    <cfRule type="dataBar" priority="73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{7C4FB292-82BE-488B-8B77-4DC84F7C0C40}</x14:id>
        </ext>
      </extLst>
    </cfRule>
  </conditionalFormatting>
  <conditionalFormatting sqref="I54">
    <cfRule type="dataBar" priority="73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{DBF966CD-016F-4167-B337-35D13EB832C4}</x14:id>
        </ext>
      </extLst>
    </cfRule>
  </conditionalFormatting>
  <conditionalFormatting sqref="I55">
    <cfRule type="dataBar" priority="73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{E31F0AA8-834B-4FC8-ABAB-39EE40BE23E2}</x14:id>
        </ext>
      </extLst>
    </cfRule>
  </conditionalFormatting>
  <conditionalFormatting sqref="I56">
    <cfRule type="dataBar" priority="73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{B5A6E174-FEC1-4D1B-8B65-3704A3762766}</x14:id>
        </ext>
      </extLst>
    </cfRule>
  </conditionalFormatting>
  <conditionalFormatting sqref="I57">
    <cfRule type="dataBar" priority="73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{EC8D03FF-8BF6-4028-9E94-8AD3C84F7ACD}</x14:id>
        </ext>
      </extLst>
    </cfRule>
  </conditionalFormatting>
  <conditionalFormatting sqref="I58">
    <cfRule type="dataBar" priority="73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{8EA7EDE5-6B15-420A-BA2E-B59A545CDAE4}</x14:id>
        </ext>
      </extLst>
    </cfRule>
  </conditionalFormatting>
  <conditionalFormatting sqref="I59">
    <cfRule type="dataBar" priority="72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{C84A4B54-B0C4-4981-A961-C02909C791C5}</x14:id>
        </ext>
      </extLst>
    </cfRule>
  </conditionalFormatting>
  <conditionalFormatting sqref="I60">
    <cfRule type="dataBar" priority="72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{C09D0833-E7DB-49D3-B062-081118424179}</x14:id>
        </ext>
      </extLst>
    </cfRule>
  </conditionalFormatting>
  <conditionalFormatting sqref="I61">
    <cfRule type="dataBar" priority="72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{9DA3C95F-D12F-43EE-A1E7-3CA70ABE5CA0}</x14:id>
        </ext>
      </extLst>
    </cfRule>
  </conditionalFormatting>
  <conditionalFormatting sqref="I62">
    <cfRule type="dataBar" priority="72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{5AADB4D8-1D16-49F6-8F13-97F4978CE052}</x14:id>
        </ext>
      </extLst>
    </cfRule>
  </conditionalFormatting>
  <conditionalFormatting sqref="I63">
    <cfRule type="dataBar" priority="72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{50E84BAB-C0C6-4DF3-8EFA-30E22DD09777}</x14:id>
        </ext>
      </extLst>
    </cfRule>
  </conditionalFormatting>
  <conditionalFormatting sqref="I64">
    <cfRule type="dataBar" priority="72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{EF29B62C-DB1F-4892-A547-F5AF94A5ED94}</x14:id>
        </ext>
      </extLst>
    </cfRule>
  </conditionalFormatting>
  <conditionalFormatting sqref="I65">
    <cfRule type="dataBar" priority="72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{D9135ABD-0BDE-43A6-93DA-5F94E4B34651}</x14:id>
        </ext>
      </extLst>
    </cfRule>
  </conditionalFormatting>
  <conditionalFormatting sqref="I66">
    <cfRule type="dataBar" priority="72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{F4A0B001-1BA3-47BD-85AA-2AC4E89A44AE}</x14:id>
        </ext>
      </extLst>
    </cfRule>
  </conditionalFormatting>
  <conditionalFormatting sqref="I67">
    <cfRule type="dataBar" priority="72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{24433340-ED15-45A6-88A2-F9DF8F8247DE}</x14:id>
        </ext>
      </extLst>
    </cfRule>
  </conditionalFormatting>
  <conditionalFormatting sqref="I68">
    <cfRule type="dataBar" priority="72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{B54F7819-9351-4025-8B2E-0D7AEB92186E}</x14:id>
        </ext>
      </extLst>
    </cfRule>
  </conditionalFormatting>
  <conditionalFormatting sqref="I69">
    <cfRule type="dataBar" priority="71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{67FDC821-EC08-4819-8A84-676365810C14}</x14:id>
        </ext>
      </extLst>
    </cfRule>
  </conditionalFormatting>
  <conditionalFormatting sqref="I70">
    <cfRule type="dataBar" priority="71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{6EA8B287-7A32-42E7-AB98-09E920C2FBE5}</x14:id>
        </ext>
      </extLst>
    </cfRule>
  </conditionalFormatting>
  <conditionalFormatting sqref="I71">
    <cfRule type="dataBar" priority="71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{D3E9888C-F2A0-4718-B01F-B06F47564362}</x14:id>
        </ext>
      </extLst>
    </cfRule>
  </conditionalFormatting>
  <conditionalFormatting sqref="I72">
    <cfRule type="dataBar" priority="71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{3632E9F8-1DA1-460B-B1C1-0941B0C51D5D}</x14:id>
        </ext>
      </extLst>
    </cfRule>
  </conditionalFormatting>
  <conditionalFormatting sqref="I73">
    <cfRule type="dataBar" priority="71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{447DB782-DB55-47B3-82EB-4EA5119111D7}</x14:id>
        </ext>
      </extLst>
    </cfRule>
  </conditionalFormatting>
  <conditionalFormatting sqref="I74">
    <cfRule type="dataBar" priority="71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{30BBDEFC-DB9E-4485-85FD-917816FC1675}</x14:id>
        </ext>
      </extLst>
    </cfRule>
  </conditionalFormatting>
  <conditionalFormatting sqref="I75">
    <cfRule type="dataBar" priority="71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{CBFAFA78-B320-466C-9831-2346E12F683D}</x14:id>
        </ext>
      </extLst>
    </cfRule>
  </conditionalFormatting>
  <conditionalFormatting sqref="I76">
    <cfRule type="dataBar" priority="71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{EC6BFC97-7AC3-410B-88EA-8C8021F6A5EA}</x14:id>
        </ext>
      </extLst>
    </cfRule>
  </conditionalFormatting>
  <conditionalFormatting sqref="I77">
    <cfRule type="dataBar" priority="71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{FDE51BB8-11DB-40C9-BF95-3B8C327198C8}</x14:id>
        </ext>
      </extLst>
    </cfRule>
  </conditionalFormatting>
  <conditionalFormatting sqref="I78">
    <cfRule type="dataBar" priority="71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{9C471420-AF8E-4FB4-9C93-235A45A6DCB1}</x14:id>
        </ext>
      </extLst>
    </cfRule>
  </conditionalFormatting>
  <conditionalFormatting sqref="I79">
    <cfRule type="dataBar" priority="70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{1E5248DF-D04B-403A-8A01-495D379E3A1D}</x14:id>
        </ext>
      </extLst>
    </cfRule>
  </conditionalFormatting>
  <conditionalFormatting sqref="I80">
    <cfRule type="dataBar" priority="70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{3A436C33-CC2D-4234-85AF-6F4843588344}</x14:id>
        </ext>
      </extLst>
    </cfRule>
  </conditionalFormatting>
  <conditionalFormatting sqref="I81">
    <cfRule type="dataBar" priority="70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{454A55A8-6C7F-4C63-A1C5-5C500D5DDC7F}</x14:id>
        </ext>
      </extLst>
    </cfRule>
  </conditionalFormatting>
  <conditionalFormatting sqref="I82">
    <cfRule type="dataBar" priority="70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{306025F9-CBE5-45E4-AC3C-4CBFBD0C8BD2}</x14:id>
        </ext>
      </extLst>
    </cfRule>
  </conditionalFormatting>
  <conditionalFormatting sqref="I83">
    <cfRule type="dataBar" priority="70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{DF5497F7-7DF5-466C-808D-5878E3710738}</x14:id>
        </ext>
      </extLst>
    </cfRule>
  </conditionalFormatting>
  <conditionalFormatting sqref="I84">
    <cfRule type="dataBar" priority="70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{4E7C9A3B-1D4F-4FA9-8455-DC8ABD39DC18}</x14:id>
        </ext>
      </extLst>
    </cfRule>
  </conditionalFormatting>
  <conditionalFormatting sqref="I85">
    <cfRule type="dataBar" priority="70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{704A43E4-9FD3-4EED-9150-921694935DD4}</x14:id>
        </ext>
      </extLst>
    </cfRule>
  </conditionalFormatting>
  <conditionalFormatting sqref="I86">
    <cfRule type="dataBar" priority="70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{4A18B360-6252-4781-9253-F93F9F94CF21}</x14:id>
        </ext>
      </extLst>
    </cfRule>
  </conditionalFormatting>
  <conditionalFormatting sqref="I87">
    <cfRule type="dataBar" priority="70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{449FC399-855D-4296-97BD-23F547AB8CFD}</x14:id>
        </ext>
      </extLst>
    </cfRule>
  </conditionalFormatting>
  <conditionalFormatting sqref="I88">
    <cfRule type="dataBar" priority="69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{DC09F168-6877-44C9-8B2F-1E75C4CA207A}</x14:id>
        </ext>
      </extLst>
    </cfRule>
  </conditionalFormatting>
  <conditionalFormatting sqref="I89">
    <cfRule type="dataBar" priority="69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{F541EB64-3E2E-43BB-BF2D-7418E9AB1D8D}</x14:id>
        </ext>
      </extLst>
    </cfRule>
  </conditionalFormatting>
  <conditionalFormatting sqref="I90">
    <cfRule type="dataBar" priority="69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{1DF75FB9-7478-4969-AEF1-E8BABA40C4DD}</x14:id>
        </ext>
      </extLst>
    </cfRule>
  </conditionalFormatting>
  <conditionalFormatting sqref="I91">
    <cfRule type="dataBar" priority="69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{6ACD1661-1CE4-4087-8D3D-FD05BE81D891}</x14:id>
        </ext>
      </extLst>
    </cfRule>
  </conditionalFormatting>
  <conditionalFormatting sqref="I92">
    <cfRule type="dataBar" priority="69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{4144F399-1E2C-43C0-B780-7F6C029AF0D8}</x14:id>
        </ext>
      </extLst>
    </cfRule>
  </conditionalFormatting>
  <conditionalFormatting sqref="I93">
    <cfRule type="dataBar" priority="69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{57DDC098-ED06-49B4-AA60-F3761C55B642}</x14:id>
        </ext>
      </extLst>
    </cfRule>
  </conditionalFormatting>
  <conditionalFormatting sqref="I94">
    <cfRule type="dataBar" priority="69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{4753CFD2-B794-4091-9140-60820F65BE49}</x14:id>
        </ext>
      </extLst>
    </cfRule>
  </conditionalFormatting>
  <conditionalFormatting sqref="I95">
    <cfRule type="dataBar" priority="69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{1654CFA1-C581-48D2-9950-6D6ECA895C00}</x14:id>
        </ext>
      </extLst>
    </cfRule>
  </conditionalFormatting>
  <conditionalFormatting sqref="I96">
    <cfRule type="dataBar" priority="69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{A8530B03-7215-4232-A350-1C04FA8207E4}</x14:id>
        </ext>
      </extLst>
    </cfRule>
  </conditionalFormatting>
  <conditionalFormatting sqref="I97">
    <cfRule type="dataBar" priority="69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{7C51CD4C-90B3-44B2-9E94-0C2631F6F66F}</x14:id>
        </ext>
      </extLst>
    </cfRule>
  </conditionalFormatting>
  <conditionalFormatting sqref="I98">
    <cfRule type="dataBar" priority="68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{5EB0E413-65EF-4BA7-AED5-9A7C776100B5}</x14:id>
        </ext>
      </extLst>
    </cfRule>
  </conditionalFormatting>
  <conditionalFormatting sqref="I99">
    <cfRule type="dataBar" priority="68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{5DFEA790-6B73-42B1-BE25-D8E6A9B35BF7}</x14:id>
        </ext>
      </extLst>
    </cfRule>
  </conditionalFormatting>
  <conditionalFormatting sqref="I100">
    <cfRule type="dataBar" priority="68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{56DBAFEF-E5A8-48BD-AC35-2EFAE12B4AA0}</x14:id>
        </ext>
      </extLst>
    </cfRule>
  </conditionalFormatting>
  <conditionalFormatting sqref="I101">
    <cfRule type="dataBar" priority="68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{1F9B0B3D-4017-402D-939C-B0FC4B535872}</x14:id>
        </ext>
      </extLst>
    </cfRule>
  </conditionalFormatting>
  <conditionalFormatting sqref="I102">
    <cfRule type="dataBar" priority="68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{37BA6A08-009A-4576-A5A7-25C7103C7FF3}</x14:id>
        </ext>
      </extLst>
    </cfRule>
  </conditionalFormatting>
  <conditionalFormatting sqref="I103">
    <cfRule type="dataBar" priority="68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{C47919CA-1D92-49E3-B883-35DCA0F41E5B}</x14:id>
        </ext>
      </extLst>
    </cfRule>
  </conditionalFormatting>
  <conditionalFormatting sqref="I104">
    <cfRule type="dataBar" priority="68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{C0BF4A2F-20F3-4352-93A6-260E4CD7A2F8}</x14:id>
        </ext>
      </extLst>
    </cfRule>
  </conditionalFormatting>
  <conditionalFormatting sqref="I105">
    <cfRule type="dataBar" priority="68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{CCB64326-04C8-4FF5-8E77-9B8683F457E8}</x14:id>
        </ext>
      </extLst>
    </cfRule>
  </conditionalFormatting>
  <conditionalFormatting sqref="I106">
    <cfRule type="dataBar" priority="68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{D47276DB-529F-4712-A2B4-98702F8F5EFC}</x14:id>
        </ext>
      </extLst>
    </cfRule>
  </conditionalFormatting>
  <conditionalFormatting sqref="I107">
    <cfRule type="dataBar" priority="68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{9D2F311F-8AA7-451C-990C-D5E230811644}</x14:id>
        </ext>
      </extLst>
    </cfRule>
  </conditionalFormatting>
  <conditionalFormatting sqref="I108">
    <cfRule type="dataBar" priority="67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{2C40B48D-1F01-4DB5-BEF6-1904B10E217A}</x14:id>
        </ext>
      </extLst>
    </cfRule>
  </conditionalFormatting>
  <conditionalFormatting sqref="I109">
    <cfRule type="dataBar" priority="67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{9C925A09-2CEE-4D53-AB3F-7D6A59FBD6EA}</x14:id>
        </ext>
      </extLst>
    </cfRule>
  </conditionalFormatting>
  <conditionalFormatting sqref="I110">
    <cfRule type="dataBar" priority="67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{C8018A95-09A4-4BF1-9ACE-2A1BDF2FEE5B}</x14:id>
        </ext>
      </extLst>
    </cfRule>
  </conditionalFormatting>
  <conditionalFormatting sqref="I111">
    <cfRule type="dataBar" priority="67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{72CD5101-53B4-43FE-AA0A-C8AE1E0C8A18}</x14:id>
        </ext>
      </extLst>
    </cfRule>
  </conditionalFormatting>
  <conditionalFormatting sqref="I112">
    <cfRule type="dataBar" priority="67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{DC4727B4-F830-422C-BA8E-6867CE5F05E6}</x14:id>
        </ext>
      </extLst>
    </cfRule>
  </conditionalFormatting>
  <conditionalFormatting sqref="I113">
    <cfRule type="dataBar" priority="67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{6C105E5B-5109-49B8-8283-BF8AEF296C0F}</x14:id>
        </ext>
      </extLst>
    </cfRule>
  </conditionalFormatting>
  <conditionalFormatting sqref="I114">
    <cfRule type="dataBar" priority="67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{5276E08F-86C5-4252-BEAC-F6D451B65E0A}</x14:id>
        </ext>
      </extLst>
    </cfRule>
  </conditionalFormatting>
  <conditionalFormatting sqref="I115">
    <cfRule type="dataBar" priority="67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{82B39D0B-2CF7-46B2-9570-88ABA47A70DE}</x14:id>
        </ext>
      </extLst>
    </cfRule>
  </conditionalFormatting>
  <conditionalFormatting sqref="I116">
    <cfRule type="dataBar" priority="67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{9CAFCBF5-1BC7-4A83-8FF9-8A0577E0F34D}</x14:id>
        </ext>
      </extLst>
    </cfRule>
  </conditionalFormatting>
  <conditionalFormatting sqref="I117">
    <cfRule type="dataBar" priority="66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{27D4A728-79FB-4E05-A6E3-E91F1B10A913}</x14:id>
        </ext>
      </extLst>
    </cfRule>
  </conditionalFormatting>
  <conditionalFormatting sqref="I118">
    <cfRule type="dataBar" priority="66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{25CED8C1-7AA5-4874-8BDA-B16C243FEF25}</x14:id>
        </ext>
      </extLst>
    </cfRule>
  </conditionalFormatting>
  <conditionalFormatting sqref="I119">
    <cfRule type="dataBar" priority="66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{DAE694CE-DCD8-4FF3-9B32-3CDCE7281E69}</x14:id>
        </ext>
      </extLst>
    </cfRule>
  </conditionalFormatting>
  <conditionalFormatting sqref="I120">
    <cfRule type="dataBar" priority="66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{6CD3BF27-7FC0-46CA-968B-832110A5E4EA}</x14:id>
        </ext>
      </extLst>
    </cfRule>
  </conditionalFormatting>
  <conditionalFormatting sqref="I121">
    <cfRule type="dataBar" priority="66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{F9E0511C-75DF-4133-AA36-D3FC8950C062}</x14:id>
        </ext>
      </extLst>
    </cfRule>
  </conditionalFormatting>
  <conditionalFormatting sqref="I122">
    <cfRule type="dataBar" priority="66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{BE031DEC-BCC4-4F9E-978F-FD5FCD7A2DAA}</x14:id>
        </ext>
      </extLst>
    </cfRule>
  </conditionalFormatting>
  <conditionalFormatting sqref="I123">
    <cfRule type="dataBar" priority="66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{FDCA8E0D-9A6E-4D74-8024-A5F9AEE944B8}</x14:id>
        </ext>
      </extLst>
    </cfRule>
  </conditionalFormatting>
  <conditionalFormatting sqref="I124">
    <cfRule type="dataBar" priority="66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{B46F2882-1655-46DB-B282-539FD6BE00ED}</x14:id>
        </ext>
      </extLst>
    </cfRule>
  </conditionalFormatting>
  <conditionalFormatting sqref="I125">
    <cfRule type="dataBar" priority="66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{C343F7BA-9F36-4E18-A981-55217A2182D7}</x14:id>
        </ext>
      </extLst>
    </cfRule>
  </conditionalFormatting>
  <conditionalFormatting sqref="I126">
    <cfRule type="dataBar" priority="66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{2B7F1C61-4A03-47E8-8733-3B6B130D52F4}</x14:id>
        </ext>
      </extLst>
    </cfRule>
  </conditionalFormatting>
  <conditionalFormatting sqref="I127">
    <cfRule type="dataBar" priority="65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{7B472F41-9562-4278-83D7-EC3A7379F3BA}</x14:id>
        </ext>
      </extLst>
    </cfRule>
  </conditionalFormatting>
  <conditionalFormatting sqref="I128">
    <cfRule type="dataBar" priority="65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{1E643D5C-4C1F-41C9-BE0C-3091FF6D7098}</x14:id>
        </ext>
      </extLst>
    </cfRule>
  </conditionalFormatting>
  <conditionalFormatting sqref="I129">
    <cfRule type="dataBar" priority="65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{F10BCD59-AEBF-413B-848D-017505C9C42C}</x14:id>
        </ext>
      </extLst>
    </cfRule>
  </conditionalFormatting>
  <conditionalFormatting sqref="I130">
    <cfRule type="dataBar" priority="65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{FF84A2F8-BA57-4295-B301-07E6E98595D5}</x14:id>
        </ext>
      </extLst>
    </cfRule>
  </conditionalFormatting>
  <conditionalFormatting sqref="I131">
    <cfRule type="dataBar" priority="65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{71832D48-79D2-4C0E-AD16-9D0FD3D81D65}</x14:id>
        </ext>
      </extLst>
    </cfRule>
  </conditionalFormatting>
  <conditionalFormatting sqref="I132">
    <cfRule type="dataBar" priority="65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{D87EA379-23F1-428D-A828-63C0FE8D0805}</x14:id>
        </ext>
      </extLst>
    </cfRule>
  </conditionalFormatting>
  <conditionalFormatting sqref="I133">
    <cfRule type="dataBar" priority="65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{F367D4B2-7CE2-42C6-96A6-A15BAEA61B72}</x14:id>
        </ext>
      </extLst>
    </cfRule>
  </conditionalFormatting>
  <conditionalFormatting sqref="I134">
    <cfRule type="dataBar" priority="65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{65DEBB78-59EF-4351-88E1-F28B44AC1616}</x14:id>
        </ext>
      </extLst>
    </cfRule>
  </conditionalFormatting>
  <conditionalFormatting sqref="I135">
    <cfRule type="dataBar" priority="65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{EE163997-3CDE-4787-A259-5FF479FB412F}</x14:id>
        </ext>
      </extLst>
    </cfRule>
  </conditionalFormatting>
  <conditionalFormatting sqref="I136">
    <cfRule type="dataBar" priority="65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{660E6FAA-461F-49A5-9A61-97B171306533}</x14:id>
        </ext>
      </extLst>
    </cfRule>
  </conditionalFormatting>
  <conditionalFormatting sqref="I137">
    <cfRule type="dataBar" priority="64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{C03DFE96-BE93-4A68-A7B2-B61B50527AD5}</x14:id>
        </ext>
      </extLst>
    </cfRule>
  </conditionalFormatting>
  <conditionalFormatting sqref="F40">
    <cfRule type="expression" dxfId="293" priority="634">
      <formula>($H40 = "완료")</formula>
    </cfRule>
    <cfRule type="expression" dxfId="292" priority="635">
      <formula>AND(NOT(ISBLANK($F40)), OR($F40 &lt; TODAY(), $F40 &gt; DATE(YEAR(TODAY()),9, 9)))</formula>
    </cfRule>
    <cfRule type="expression" dxfId="291" priority="636">
      <formula>AND(NOT(ISBLANK($F40)), $F40 &gt;= TODAY(), $F40 &lt; DATE(YEAR(TODAY()),9, 9), OR($H40 = "진행중", $H40 = "예정"))</formula>
    </cfRule>
  </conditionalFormatting>
  <conditionalFormatting sqref="F102">
    <cfRule type="expression" dxfId="290" priority="442">
      <formula>($H102 = "완료")</formula>
    </cfRule>
    <cfRule type="expression" dxfId="289" priority="443">
      <formula>AND(NOT(ISBLANK($F102)), OR($F102 &lt; TODAY(), $F102 &gt; DATE(YEAR(TODAY()),8, 27)))</formula>
    </cfRule>
    <cfRule type="expression" dxfId="288" priority="444">
      <formula>AND(NOT(ISBLANK($F102)), $F102 &gt;= TODAY(), $F102 &lt; DATE(YEAR(TODAY()),8, 27), OR($H102 = "진행중", $H102 = "예정"))</formula>
    </cfRule>
  </conditionalFormatting>
  <conditionalFormatting sqref="F41">
    <cfRule type="expression" dxfId="287" priority="331">
      <formula>($H41 = "완료")</formula>
    </cfRule>
    <cfRule type="expression" dxfId="286" priority="332">
      <formula>AND(NOT(ISBLANK($F41)), OR($F41 &lt; TODAY(), $F41 &gt; DATE(YEAR(TODAY()),9, 9)))</formula>
    </cfRule>
    <cfRule type="expression" dxfId="285" priority="333">
      <formula>AND(NOT(ISBLANK($F41)), $F41 &gt;= TODAY(), $F41 &lt; DATE(YEAR(TODAY()),9, 9), OR($H41 = "진행중", $H41 = "예정"))</formula>
    </cfRule>
  </conditionalFormatting>
  <conditionalFormatting sqref="F42">
    <cfRule type="expression" dxfId="284" priority="328">
      <formula>($H42 = "완료")</formula>
    </cfRule>
    <cfRule type="expression" dxfId="283" priority="329">
      <formula>AND(NOT(ISBLANK($F42)), OR($F42 &lt; TODAY(), $F42 &gt; DATE(YEAR(TODAY()),9, 9)))</formula>
    </cfRule>
    <cfRule type="expression" dxfId="282" priority="330">
      <formula>AND(NOT(ISBLANK($F42)), $F42 &gt;= TODAY(), $F42 &lt; DATE(YEAR(TODAY()),9, 9), OR($H42 = "진행중", $H42 = "예정"))</formula>
    </cfRule>
  </conditionalFormatting>
  <conditionalFormatting sqref="F43">
    <cfRule type="expression" dxfId="281" priority="325">
      <formula>($H43 = "완료")</formula>
    </cfRule>
    <cfRule type="expression" dxfId="280" priority="326">
      <formula>AND(NOT(ISBLANK($F43)), OR($F43 &lt; TODAY(), $F43 &gt; DATE(YEAR(TODAY()),9, 9)))</formula>
    </cfRule>
    <cfRule type="expression" dxfId="279" priority="327">
      <formula>AND(NOT(ISBLANK($F43)), $F43 &gt;= TODAY(), $F43 &lt; DATE(YEAR(TODAY()),9, 9), OR($H43 = "진행중", $H43 = "예정"))</formula>
    </cfRule>
  </conditionalFormatting>
  <conditionalFormatting sqref="F44">
    <cfRule type="expression" dxfId="278" priority="322">
      <formula>($H44 = "완료")</formula>
    </cfRule>
    <cfRule type="expression" dxfId="277" priority="323">
      <formula>AND(NOT(ISBLANK($F44)), OR($F44 &lt; TODAY(), $F44 &gt; DATE(YEAR(TODAY()),9, 9)))</formula>
    </cfRule>
    <cfRule type="expression" dxfId="276" priority="324">
      <formula>AND(NOT(ISBLANK($F44)), $F44 &gt;= TODAY(), $F44 &lt; DATE(YEAR(TODAY()),9, 9), OR($H44 = "진행중", $H44 = "예정"))</formula>
    </cfRule>
  </conditionalFormatting>
  <conditionalFormatting sqref="F45">
    <cfRule type="expression" dxfId="275" priority="319">
      <formula>($H45 = "완료")</formula>
    </cfRule>
    <cfRule type="expression" dxfId="274" priority="320">
      <formula>AND(NOT(ISBLANK($F45)), OR($F45 &lt; TODAY(), $F45 &gt; DATE(YEAR(TODAY()),9, 9)))</formula>
    </cfRule>
    <cfRule type="expression" dxfId="273" priority="321">
      <formula>AND(NOT(ISBLANK($F45)), $F45 &gt;= TODAY(), $F45 &lt; DATE(YEAR(TODAY()),9, 9), OR($H45 = "진행중", $H45 = "예정"))</formula>
    </cfRule>
  </conditionalFormatting>
  <conditionalFormatting sqref="F46">
    <cfRule type="expression" dxfId="272" priority="316">
      <formula>($H46 = "완료")</formula>
    </cfRule>
    <cfRule type="expression" dxfId="271" priority="317">
      <formula>AND(NOT(ISBLANK($F46)), OR($F46 &lt; TODAY(), $F46 &gt; DATE(YEAR(TODAY()),9, 9)))</formula>
    </cfRule>
    <cfRule type="expression" dxfId="270" priority="318">
      <formula>AND(NOT(ISBLANK($F46)), $F46 &gt;= TODAY(), $F46 &lt; DATE(YEAR(TODAY()),9, 9), OR($H46 = "진행중", $H46 = "예정"))</formula>
    </cfRule>
  </conditionalFormatting>
  <conditionalFormatting sqref="F47">
    <cfRule type="expression" dxfId="269" priority="313">
      <formula>($H47 = "완료")</formula>
    </cfRule>
    <cfRule type="expression" dxfId="268" priority="314">
      <formula>AND(NOT(ISBLANK($F47)), OR($F47 &lt; TODAY(), $F47 &gt; DATE(YEAR(TODAY()),9, 9)))</formula>
    </cfRule>
    <cfRule type="expression" dxfId="267" priority="315">
      <formula>AND(NOT(ISBLANK($F47)), $F47 &gt;= TODAY(), $F47 &lt; DATE(YEAR(TODAY()),9, 9), OR($H47 = "진행중", $H47 = "예정"))</formula>
    </cfRule>
  </conditionalFormatting>
  <conditionalFormatting sqref="F48">
    <cfRule type="expression" dxfId="266" priority="310">
      <formula>($H48 = "완료")</formula>
    </cfRule>
    <cfRule type="expression" dxfId="265" priority="311">
      <formula>AND(NOT(ISBLANK($F48)), OR($F48 &lt; TODAY(), $F48 &gt; DATE(YEAR(TODAY()),9, 9)))</formula>
    </cfRule>
    <cfRule type="expression" dxfId="264" priority="312">
      <formula>AND(NOT(ISBLANK($F48)), $F48 &gt;= TODAY(), $F48 &lt; DATE(YEAR(TODAY()),9, 9), OR($H48 = "진행중", $H48 = "예정"))</formula>
    </cfRule>
  </conditionalFormatting>
  <conditionalFormatting sqref="F49">
    <cfRule type="expression" dxfId="263" priority="307">
      <formula>($H49 = "완료")</formula>
    </cfRule>
    <cfRule type="expression" dxfId="262" priority="308">
      <formula>AND(NOT(ISBLANK($F49)), OR($F49 &lt; TODAY(), $F49 &gt; DATE(YEAR(TODAY()),9, 9)))</formula>
    </cfRule>
    <cfRule type="expression" dxfId="261" priority="309">
      <formula>AND(NOT(ISBLANK($F49)), $F49 &gt;= TODAY(), $F49 &lt; DATE(YEAR(TODAY()),9, 9), OR($H49 = "진행중", $H49 = "예정"))</formula>
    </cfRule>
  </conditionalFormatting>
  <conditionalFormatting sqref="F50">
    <cfRule type="expression" dxfId="260" priority="304">
      <formula>($H50 = "완료")</formula>
    </cfRule>
    <cfRule type="expression" dxfId="259" priority="305">
      <formula>AND(NOT(ISBLANK($F50)), OR($F50 &lt; TODAY(), $F50 &gt; DATE(YEAR(TODAY()),9, 9)))</formula>
    </cfRule>
    <cfRule type="expression" dxfId="258" priority="306">
      <formula>AND(NOT(ISBLANK($F50)), $F50 &gt;= TODAY(), $F50 &lt; DATE(YEAR(TODAY()),9, 9), OR($H50 = "진행중", $H50 = "예정"))</formula>
    </cfRule>
  </conditionalFormatting>
  <conditionalFormatting sqref="F51">
    <cfRule type="expression" dxfId="257" priority="301">
      <formula>($H51 = "완료")</formula>
    </cfRule>
    <cfRule type="expression" dxfId="256" priority="302">
      <formula>AND(NOT(ISBLANK($F51)), OR($F51 &lt; TODAY(), $F51 &gt; DATE(YEAR(TODAY()),9, 9)))</formula>
    </cfRule>
    <cfRule type="expression" dxfId="255" priority="303">
      <formula>AND(NOT(ISBLANK($F51)), $F51 &gt;= TODAY(), $F51 &lt; DATE(YEAR(TODAY()),9, 9), OR($H51 = "진행중", $H51 = "예정"))</formula>
    </cfRule>
  </conditionalFormatting>
  <conditionalFormatting sqref="F52">
    <cfRule type="expression" dxfId="254" priority="298">
      <formula>($H52 = "완료")</formula>
    </cfRule>
    <cfRule type="expression" dxfId="253" priority="299">
      <formula>AND(NOT(ISBLANK($F52)), OR($F52 &lt; TODAY(), $F52 &gt; DATE(YEAR(TODAY()),9, 9)))</formula>
    </cfRule>
    <cfRule type="expression" dxfId="252" priority="300">
      <formula>AND(NOT(ISBLANK($F52)), $F52 &gt;= TODAY(), $F52 &lt; DATE(YEAR(TODAY()),9, 9), OR($H52 = "진행중", $H52 = "예정"))</formula>
    </cfRule>
  </conditionalFormatting>
  <conditionalFormatting sqref="F53">
    <cfRule type="expression" dxfId="251" priority="292">
      <formula>($H53 = "완료")</formula>
    </cfRule>
    <cfRule type="expression" dxfId="250" priority="293">
      <formula>AND(NOT(ISBLANK($F53)), OR($F53 &lt; TODAY(), $F53 &gt; DATE(YEAR(TODAY()),9, 9)))</formula>
    </cfRule>
    <cfRule type="expression" dxfId="249" priority="294">
      <formula>AND(NOT(ISBLANK($F53)), $F53 &gt;= TODAY(), $F53 &lt; DATE(YEAR(TODAY()),9, 9), OR($H53 = "진행중", $H53 = "예정"))</formula>
    </cfRule>
  </conditionalFormatting>
  <conditionalFormatting sqref="F54">
    <cfRule type="expression" dxfId="248" priority="289">
      <formula>($H54 = "완료")</formula>
    </cfRule>
    <cfRule type="expression" dxfId="247" priority="290">
      <formula>AND(NOT(ISBLANK($F54)), OR($F54 &lt; TODAY(), $F54 &gt; DATE(YEAR(TODAY()),9, 9)))</formula>
    </cfRule>
    <cfRule type="expression" dxfId="246" priority="291">
      <formula>AND(NOT(ISBLANK($F54)), $F54 &gt;= TODAY(), $F54 &lt; DATE(YEAR(TODAY()),9, 9), OR($H54 = "진행중", $H54 = "예정"))</formula>
    </cfRule>
  </conditionalFormatting>
  <conditionalFormatting sqref="F55">
    <cfRule type="expression" dxfId="245" priority="286">
      <formula>($H55 = "완료")</formula>
    </cfRule>
    <cfRule type="expression" dxfId="244" priority="287">
      <formula>AND(NOT(ISBLANK($F55)), OR($F55 &lt; TODAY(), $F55 &gt; DATE(YEAR(TODAY()),9, 9)))</formula>
    </cfRule>
    <cfRule type="expression" dxfId="243" priority="288">
      <formula>AND(NOT(ISBLANK($F55)), $F55 &gt;= TODAY(), $F55 &lt; DATE(YEAR(TODAY()),9, 9), OR($H55 = "진행중", $H55 = "예정"))</formula>
    </cfRule>
  </conditionalFormatting>
  <conditionalFormatting sqref="F56">
    <cfRule type="expression" dxfId="242" priority="283">
      <formula>($H56 = "완료")</formula>
    </cfRule>
    <cfRule type="expression" dxfId="241" priority="284">
      <formula>AND(NOT(ISBLANK($F56)), OR($F56 &lt; TODAY(), $F56 &gt; DATE(YEAR(TODAY()),9, 9)))</formula>
    </cfRule>
    <cfRule type="expression" dxfId="240" priority="285">
      <formula>AND(NOT(ISBLANK($F56)), $F56 &gt;= TODAY(), $F56 &lt; DATE(YEAR(TODAY()),9, 9), OR($H56 = "진행중", $H56 = "예정"))</formula>
    </cfRule>
  </conditionalFormatting>
  <conditionalFormatting sqref="F57">
    <cfRule type="expression" dxfId="239" priority="280">
      <formula>($H57 = "완료")</formula>
    </cfRule>
    <cfRule type="expression" dxfId="238" priority="281">
      <formula>AND(NOT(ISBLANK($F57)), OR($F57 &lt; TODAY(), $F57 &gt; DATE(YEAR(TODAY()),9, 9)))</formula>
    </cfRule>
    <cfRule type="expression" dxfId="237" priority="282">
      <formula>AND(NOT(ISBLANK($F57)), $F57 &gt;= TODAY(), $F57 &lt; DATE(YEAR(TODAY()),9, 9), OR($H57 = "진행중", $H57 = "예정"))</formula>
    </cfRule>
  </conditionalFormatting>
  <conditionalFormatting sqref="F58">
    <cfRule type="expression" dxfId="236" priority="277">
      <formula>($H58 = "완료")</formula>
    </cfRule>
    <cfRule type="expression" dxfId="235" priority="278">
      <formula>AND(NOT(ISBLANK($F58)), OR($F58 &lt; TODAY(), $F58 &gt; DATE(YEAR(TODAY()),9, 9)))</formula>
    </cfRule>
    <cfRule type="expression" dxfId="234" priority="279">
      <formula>AND(NOT(ISBLANK($F58)), $F58 &gt;= TODAY(), $F58 &lt; DATE(YEAR(TODAY()),9, 9), OR($H58 = "진행중", $H58 = "예정"))</formula>
    </cfRule>
  </conditionalFormatting>
  <conditionalFormatting sqref="F59">
    <cfRule type="expression" dxfId="233" priority="274">
      <formula>($H59 = "완료")</formula>
    </cfRule>
    <cfRule type="expression" dxfId="232" priority="275">
      <formula>AND(NOT(ISBLANK($F59)), OR($F59 &lt; TODAY(), $F59 &gt; DATE(YEAR(TODAY()),9, 9)))</formula>
    </cfRule>
    <cfRule type="expression" dxfId="231" priority="276">
      <formula>AND(NOT(ISBLANK($F59)), $F59 &gt;= TODAY(), $F59 &lt; DATE(YEAR(TODAY()),9, 9), OR($H59 = "진행중", $H59 = "예정"))</formula>
    </cfRule>
  </conditionalFormatting>
  <conditionalFormatting sqref="F60">
    <cfRule type="expression" dxfId="230" priority="271">
      <formula>($H60 = "완료")</formula>
    </cfRule>
    <cfRule type="expression" dxfId="229" priority="272">
      <formula>AND(NOT(ISBLANK($F60)), OR($F60 &lt; TODAY(), $F60 &gt; DATE(YEAR(TODAY()),9, 9)))</formula>
    </cfRule>
    <cfRule type="expression" dxfId="228" priority="273">
      <formula>AND(NOT(ISBLANK($F60)), $F60 &gt;= TODAY(), $F60 &lt; DATE(YEAR(TODAY()),9, 9), OR($H60 = "진행중", $H60 = "예정"))</formula>
    </cfRule>
  </conditionalFormatting>
  <conditionalFormatting sqref="F61">
    <cfRule type="expression" dxfId="227" priority="268">
      <formula>($H61 = "완료")</formula>
    </cfRule>
    <cfRule type="expression" dxfId="226" priority="269">
      <formula>AND(NOT(ISBLANK($F61)), OR($F61 &lt; TODAY(), $F61 &gt; DATE(YEAR(TODAY()),9, 9)))</formula>
    </cfRule>
    <cfRule type="expression" dxfId="225" priority="270">
      <formula>AND(NOT(ISBLANK($F61)), $F61 &gt;= TODAY(), $F61 &lt; DATE(YEAR(TODAY()),9, 9), OR($H61 = "진행중", $H61 = "예정"))</formula>
    </cfRule>
  </conditionalFormatting>
  <conditionalFormatting sqref="F62">
    <cfRule type="expression" dxfId="224" priority="265">
      <formula>($H62 = "완료")</formula>
    </cfRule>
    <cfRule type="expression" dxfId="223" priority="266">
      <formula>AND(NOT(ISBLANK($F62)), OR($F62 &lt; TODAY(), $F62 &gt; DATE(YEAR(TODAY()),9, 9)))</formula>
    </cfRule>
    <cfRule type="expression" dxfId="222" priority="267">
      <formula>AND(NOT(ISBLANK($F62)), $F62 &gt;= TODAY(), $F62 &lt; DATE(YEAR(TODAY()),9, 9), OR($H62 = "진행중", $H62 = "예정"))</formula>
    </cfRule>
  </conditionalFormatting>
  <conditionalFormatting sqref="F63">
    <cfRule type="expression" dxfId="221" priority="262">
      <formula>($H63 = "완료")</formula>
    </cfRule>
    <cfRule type="expression" dxfId="220" priority="263">
      <formula>AND(NOT(ISBLANK($F63)), OR($F63 &lt; TODAY(), $F63 &gt; DATE(YEAR(TODAY()),9, 9)))</formula>
    </cfRule>
    <cfRule type="expression" dxfId="219" priority="264">
      <formula>AND(NOT(ISBLANK($F63)), $F63 &gt;= TODAY(), $F63 &lt; DATE(YEAR(TODAY()),9, 9), OR($H63 = "진행중", $H63 = "예정"))</formula>
    </cfRule>
  </conditionalFormatting>
  <conditionalFormatting sqref="F64">
    <cfRule type="expression" dxfId="218" priority="259">
      <formula>($H64 = "완료")</formula>
    </cfRule>
    <cfRule type="expression" dxfId="217" priority="260">
      <formula>AND(NOT(ISBLANK($F64)), OR($F64 &lt; TODAY(), $F64 &gt; DATE(YEAR(TODAY()),9, 9)))</formula>
    </cfRule>
    <cfRule type="expression" dxfId="216" priority="261">
      <formula>AND(NOT(ISBLANK($F64)), $F64 &gt;= TODAY(), $F64 &lt; DATE(YEAR(TODAY()),9, 9), OR($H64 = "진행중", $H64 = "예정"))</formula>
    </cfRule>
  </conditionalFormatting>
  <conditionalFormatting sqref="F65">
    <cfRule type="expression" dxfId="215" priority="256">
      <formula>($H65 = "완료")</formula>
    </cfRule>
    <cfRule type="expression" dxfId="214" priority="257">
      <formula>AND(NOT(ISBLANK($F65)), OR($F65 &lt; TODAY(), $F65 &gt; DATE(YEAR(TODAY()),9, 9)))</formula>
    </cfRule>
    <cfRule type="expression" dxfId="213" priority="258">
      <formula>AND(NOT(ISBLANK($F65)), $F65 &gt;= TODAY(), $F65 &lt; DATE(YEAR(TODAY()),9, 9), OR($H65 = "진행중", $H65 = "예정"))</formula>
    </cfRule>
  </conditionalFormatting>
  <conditionalFormatting sqref="F66">
    <cfRule type="expression" dxfId="212" priority="253">
      <formula>($H66 = "완료")</formula>
    </cfRule>
    <cfRule type="expression" dxfId="211" priority="254">
      <formula>AND(NOT(ISBLANK($F66)), OR($F66 &lt; TODAY(), $F66 &gt; DATE(YEAR(TODAY()),9, 9)))</formula>
    </cfRule>
    <cfRule type="expression" dxfId="210" priority="255">
      <formula>AND(NOT(ISBLANK($F66)), $F66 &gt;= TODAY(), $F66 &lt; DATE(YEAR(TODAY()),9, 9), OR($H66 = "진행중", $H66 = "예정"))</formula>
    </cfRule>
  </conditionalFormatting>
  <conditionalFormatting sqref="F67">
    <cfRule type="expression" dxfId="209" priority="250">
      <formula>($H67 = "완료")</formula>
    </cfRule>
    <cfRule type="expression" dxfId="208" priority="251">
      <formula>AND(NOT(ISBLANK($F67)), OR($F67 &lt; TODAY(), $F67 &gt; DATE(YEAR(TODAY()),9, 9)))</formula>
    </cfRule>
    <cfRule type="expression" dxfId="207" priority="252">
      <formula>AND(NOT(ISBLANK($F67)), $F67 &gt;= TODAY(), $F67 &lt; DATE(YEAR(TODAY()),9, 9), OR($H67 = "진행중", $H67 = "예정"))</formula>
    </cfRule>
  </conditionalFormatting>
  <conditionalFormatting sqref="F68">
    <cfRule type="expression" dxfId="206" priority="247">
      <formula>($H68 = "완료")</formula>
    </cfRule>
    <cfRule type="expression" dxfId="205" priority="248">
      <formula>AND(NOT(ISBLANK($F68)), OR($F68 &lt; TODAY(), $F68 &gt; DATE(YEAR(TODAY()),9, 9)))</formula>
    </cfRule>
    <cfRule type="expression" dxfId="204" priority="249">
      <formula>AND(NOT(ISBLANK($F68)), $F68 &gt;= TODAY(), $F68 &lt; DATE(YEAR(TODAY()),9, 9), OR($H68 = "진행중", $H68 = "예정"))</formula>
    </cfRule>
  </conditionalFormatting>
  <conditionalFormatting sqref="F69">
    <cfRule type="expression" dxfId="203" priority="244">
      <formula>($H69 = "완료")</formula>
    </cfRule>
    <cfRule type="expression" dxfId="202" priority="245">
      <formula>AND(NOT(ISBLANK($F69)), OR($F69 &lt; TODAY(), $F69 &gt; DATE(YEAR(TODAY()),9, 9)))</formula>
    </cfRule>
    <cfRule type="expression" dxfId="201" priority="246">
      <formula>AND(NOT(ISBLANK($F69)), $F69 &gt;= TODAY(), $F69 &lt; DATE(YEAR(TODAY()),9, 9), OR($H69 = "진행중", $H69 = "예정"))</formula>
    </cfRule>
  </conditionalFormatting>
  <conditionalFormatting sqref="F70">
    <cfRule type="expression" dxfId="200" priority="241">
      <formula>($H70 = "완료")</formula>
    </cfRule>
    <cfRule type="expression" dxfId="199" priority="242">
      <formula>AND(NOT(ISBLANK($F70)), OR($F70 &lt; TODAY(), $F70 &gt; DATE(YEAR(TODAY()),9, 9)))</formula>
    </cfRule>
    <cfRule type="expression" dxfId="198" priority="243">
      <formula>AND(NOT(ISBLANK($F70)), $F70 &gt;= TODAY(), $F70 &lt; DATE(YEAR(TODAY()),9, 9), OR($H70 = "진행중", $H70 = "예정"))</formula>
    </cfRule>
  </conditionalFormatting>
  <conditionalFormatting sqref="F71">
    <cfRule type="expression" dxfId="197" priority="238">
      <formula>($H71 = "완료")</formula>
    </cfRule>
    <cfRule type="expression" dxfId="196" priority="239">
      <formula>AND(NOT(ISBLANK($F71)), OR($F71 &lt; TODAY(), $F71 &gt; DATE(YEAR(TODAY()),9, 9)))</formula>
    </cfRule>
    <cfRule type="expression" dxfId="195" priority="240">
      <formula>AND(NOT(ISBLANK($F71)), $F71 &gt;= TODAY(), $F71 &lt; DATE(YEAR(TODAY()),9, 9), OR($H71 = "진행중", $H71 = "예정"))</formula>
    </cfRule>
  </conditionalFormatting>
  <conditionalFormatting sqref="F72">
    <cfRule type="expression" dxfId="194" priority="235">
      <formula>($H72 = "완료")</formula>
    </cfRule>
    <cfRule type="expression" dxfId="193" priority="236">
      <formula>AND(NOT(ISBLANK($F72)), OR($F72 &lt; TODAY(), $F72 &gt; DATE(YEAR(TODAY()),9, 9)))</formula>
    </cfRule>
    <cfRule type="expression" dxfId="192" priority="237">
      <formula>AND(NOT(ISBLANK($F72)), $F72 &gt;= TODAY(), $F72 &lt; DATE(YEAR(TODAY()),9, 9), OR($H72 = "진행중", $H72 = "예정"))</formula>
    </cfRule>
  </conditionalFormatting>
  <conditionalFormatting sqref="F73">
    <cfRule type="expression" dxfId="191" priority="232">
      <formula>($H73 = "완료")</formula>
    </cfRule>
    <cfRule type="expression" dxfId="190" priority="233">
      <formula>AND(NOT(ISBLANK($F73)), OR($F73 &lt; TODAY(), $F73 &gt; DATE(YEAR(TODAY()),9, 9)))</formula>
    </cfRule>
    <cfRule type="expression" dxfId="189" priority="234">
      <formula>AND(NOT(ISBLANK($F73)), $F73 &gt;= TODAY(), $F73 &lt; DATE(YEAR(TODAY()),9, 9), OR($H73 = "진행중", $H73 = "예정"))</formula>
    </cfRule>
  </conditionalFormatting>
  <conditionalFormatting sqref="F74">
    <cfRule type="expression" dxfId="188" priority="229">
      <formula>($H74 = "완료")</formula>
    </cfRule>
    <cfRule type="expression" dxfId="187" priority="230">
      <formula>AND(NOT(ISBLANK($F74)), OR($F74 &lt; TODAY(), $F74 &gt; DATE(YEAR(TODAY()),9, 9)))</formula>
    </cfRule>
    <cfRule type="expression" dxfId="186" priority="231">
      <formula>AND(NOT(ISBLANK($F74)), $F74 &gt;= TODAY(), $F74 &lt; DATE(YEAR(TODAY()),9, 9), OR($H74 = "진행중", $H74 = "예정"))</formula>
    </cfRule>
  </conditionalFormatting>
  <conditionalFormatting sqref="F75">
    <cfRule type="expression" dxfId="185" priority="226">
      <formula>($H75 = "완료")</formula>
    </cfRule>
    <cfRule type="expression" dxfId="184" priority="227">
      <formula>AND(NOT(ISBLANK($F75)), OR($F75 &lt; TODAY(), $F75 &gt; DATE(YEAR(TODAY()),9, 9)))</formula>
    </cfRule>
    <cfRule type="expression" dxfId="183" priority="228">
      <formula>AND(NOT(ISBLANK($F75)), $F75 &gt;= TODAY(), $F75 &lt; DATE(YEAR(TODAY()),9, 9), OR($H75 = "진행중", $H75 = "예정"))</formula>
    </cfRule>
  </conditionalFormatting>
  <conditionalFormatting sqref="F76">
    <cfRule type="expression" dxfId="182" priority="223">
      <formula>($H76 = "완료")</formula>
    </cfRule>
    <cfRule type="expression" dxfId="181" priority="224">
      <formula>AND(NOT(ISBLANK($F76)), OR($F76 &lt; TODAY(), $F76 &gt; DATE(YEAR(TODAY()),9, 9)))</formula>
    </cfRule>
    <cfRule type="expression" dxfId="180" priority="225">
      <formula>AND(NOT(ISBLANK($F76)), $F76 &gt;= TODAY(), $F76 &lt; DATE(YEAR(TODAY()),9, 9), OR($H76 = "진행중", $H76 = "예정"))</formula>
    </cfRule>
  </conditionalFormatting>
  <conditionalFormatting sqref="F77">
    <cfRule type="expression" dxfId="179" priority="220">
      <formula>($H77 = "완료")</formula>
    </cfRule>
    <cfRule type="expression" dxfId="178" priority="221">
      <formula>AND(NOT(ISBLANK($F77)), OR($F77 &lt; TODAY(), $F77 &gt; DATE(YEAR(TODAY()),9, 9)))</formula>
    </cfRule>
    <cfRule type="expression" dxfId="177" priority="222">
      <formula>AND(NOT(ISBLANK($F77)), $F77 &gt;= TODAY(), $F77 &lt; DATE(YEAR(TODAY()),9, 9), OR($H77 = "진행중", $H77 = "예정"))</formula>
    </cfRule>
  </conditionalFormatting>
  <conditionalFormatting sqref="F78">
    <cfRule type="expression" dxfId="176" priority="217">
      <formula>($H78 = "완료")</formula>
    </cfRule>
    <cfRule type="expression" dxfId="175" priority="218">
      <formula>AND(NOT(ISBLANK($F78)), OR($F78 &lt; TODAY(), $F78 &gt; DATE(YEAR(TODAY()),9, 9)))</formula>
    </cfRule>
    <cfRule type="expression" dxfId="174" priority="219">
      <formula>AND(NOT(ISBLANK($F78)), $F78 &gt;= TODAY(), $F78 &lt; DATE(YEAR(TODAY()),9, 9), OR($H78 = "진행중", $H78 = "예정"))</formula>
    </cfRule>
  </conditionalFormatting>
  <conditionalFormatting sqref="F79">
    <cfRule type="expression" dxfId="173" priority="214">
      <formula>($H79 = "완료")</formula>
    </cfRule>
    <cfRule type="expression" dxfId="172" priority="215">
      <formula>AND(NOT(ISBLANK($F79)), OR($F79 &lt; TODAY(), $F79 &gt; DATE(YEAR(TODAY()),9, 9)))</formula>
    </cfRule>
    <cfRule type="expression" dxfId="171" priority="216">
      <formula>AND(NOT(ISBLANK($F79)), $F79 &gt;= TODAY(), $F79 &lt; DATE(YEAR(TODAY()),9, 9), OR($H79 = "진행중", $H79 = "예정"))</formula>
    </cfRule>
  </conditionalFormatting>
  <conditionalFormatting sqref="F80">
    <cfRule type="expression" dxfId="170" priority="211">
      <formula>($H80 = "완료")</formula>
    </cfRule>
    <cfRule type="expression" dxfId="169" priority="212">
      <formula>AND(NOT(ISBLANK($F80)), OR($F80 &lt; TODAY(), $F80 &gt; DATE(YEAR(TODAY()),9, 9)))</formula>
    </cfRule>
    <cfRule type="expression" dxfId="168" priority="213">
      <formula>AND(NOT(ISBLANK($F80)), $F80 &gt;= TODAY(), $F80 &lt; DATE(YEAR(TODAY()),9, 9), OR($H80 = "진행중", $H80 = "예정"))</formula>
    </cfRule>
  </conditionalFormatting>
  <conditionalFormatting sqref="F81">
    <cfRule type="expression" dxfId="167" priority="208">
      <formula>($H81 = "완료")</formula>
    </cfRule>
    <cfRule type="expression" dxfId="166" priority="209">
      <formula>AND(NOT(ISBLANK($F81)), OR($F81 &lt; TODAY(), $F81 &gt; DATE(YEAR(TODAY()),9, 9)))</formula>
    </cfRule>
    <cfRule type="expression" dxfId="165" priority="210">
      <formula>AND(NOT(ISBLANK($F81)), $F81 &gt;= TODAY(), $F81 &lt; DATE(YEAR(TODAY()),9, 9), OR($H81 = "진행중", $H81 = "예정"))</formula>
    </cfRule>
  </conditionalFormatting>
  <conditionalFormatting sqref="F82">
    <cfRule type="expression" dxfId="164" priority="205">
      <formula>($H82 = "완료")</formula>
    </cfRule>
    <cfRule type="expression" dxfId="163" priority="206">
      <formula>AND(NOT(ISBLANK($F82)), OR($F82 &lt; TODAY(), $F82 &gt; DATE(YEAR(TODAY()),9, 9)))</formula>
    </cfRule>
    <cfRule type="expression" dxfId="162" priority="207">
      <formula>AND(NOT(ISBLANK($F82)), $F82 &gt;= TODAY(), $F82 &lt; DATE(YEAR(TODAY()),9, 9), OR($H82 = "진행중", $H82 = "예정"))</formula>
    </cfRule>
  </conditionalFormatting>
  <conditionalFormatting sqref="F83">
    <cfRule type="expression" dxfId="161" priority="202">
      <formula>($H83 = "완료")</formula>
    </cfRule>
    <cfRule type="expression" dxfId="160" priority="203">
      <formula>AND(NOT(ISBLANK($F83)), OR($F83 &lt; TODAY(), $F83 &gt; DATE(YEAR(TODAY()),9, 9)))</formula>
    </cfRule>
    <cfRule type="expression" dxfId="159" priority="204">
      <formula>AND(NOT(ISBLANK($F83)), $F83 &gt;= TODAY(), $F83 &lt; DATE(YEAR(TODAY()),9, 9), OR($H83 = "진행중", $H83 = "예정"))</formula>
    </cfRule>
  </conditionalFormatting>
  <conditionalFormatting sqref="F84">
    <cfRule type="expression" dxfId="158" priority="196">
      <formula>($H84 = "완료")</formula>
    </cfRule>
    <cfRule type="expression" dxfId="157" priority="197">
      <formula>AND(NOT(ISBLANK($F84)), OR($F84 &lt; TODAY(), $F84 &gt; DATE(YEAR(TODAY()),9, 9)))</formula>
    </cfRule>
    <cfRule type="expression" dxfId="156" priority="198">
      <formula>AND(NOT(ISBLANK($F84)), $F84 &gt;= TODAY(), $F84 &lt; DATE(YEAR(TODAY()),9, 9), OR($H84 = "진행중", $H84 = "예정"))</formula>
    </cfRule>
  </conditionalFormatting>
  <conditionalFormatting sqref="F85">
    <cfRule type="expression" dxfId="155" priority="193">
      <formula>($H85 = "완료")</formula>
    </cfRule>
    <cfRule type="expression" dxfId="154" priority="194">
      <formula>AND(NOT(ISBLANK($F85)), OR($F85 &lt; TODAY(), $F85 &gt; DATE(YEAR(TODAY()),9, 9)))</formula>
    </cfRule>
    <cfRule type="expression" dxfId="153" priority="195">
      <formula>AND(NOT(ISBLANK($F85)), $F85 &gt;= TODAY(), $F85 &lt; DATE(YEAR(TODAY()),9, 9), OR($H85 = "진행중", $H85 = "예정"))</formula>
    </cfRule>
  </conditionalFormatting>
  <conditionalFormatting sqref="F86">
    <cfRule type="expression" dxfId="152" priority="190">
      <formula>($H86 = "완료")</formula>
    </cfRule>
    <cfRule type="expression" dxfId="151" priority="191">
      <formula>AND(NOT(ISBLANK($F86)), OR($F86 &lt; TODAY(), $F86 &gt; DATE(YEAR(TODAY()),9, 9)))</formula>
    </cfRule>
    <cfRule type="expression" dxfId="150" priority="192">
      <formula>AND(NOT(ISBLANK($F86)), $F86 &gt;= TODAY(), $F86 &lt; DATE(YEAR(TODAY()),9, 9), OR($H86 = "진행중", $H86 = "예정"))</formula>
    </cfRule>
  </conditionalFormatting>
  <conditionalFormatting sqref="F87">
    <cfRule type="expression" dxfId="149" priority="187">
      <formula>($H87 = "완료")</formula>
    </cfRule>
    <cfRule type="expression" dxfId="148" priority="188">
      <formula>AND(NOT(ISBLANK($F87)), OR($F87 &lt; TODAY(), $F87 &gt; DATE(YEAR(TODAY()),9, 9)))</formula>
    </cfRule>
    <cfRule type="expression" dxfId="147" priority="189">
      <formula>AND(NOT(ISBLANK($F87)), $F87 &gt;= TODAY(), $F87 &lt; DATE(YEAR(TODAY()),9, 9), OR($H87 = "진행중", $H87 = "예정"))</formula>
    </cfRule>
  </conditionalFormatting>
  <conditionalFormatting sqref="F88">
    <cfRule type="expression" dxfId="146" priority="184">
      <formula>($H88 = "완료")</formula>
    </cfRule>
    <cfRule type="expression" dxfId="145" priority="185">
      <formula>AND(NOT(ISBLANK($F88)), OR($F88 &lt; TODAY(), $F88 &gt; DATE(YEAR(TODAY()),9, 9)))</formula>
    </cfRule>
    <cfRule type="expression" dxfId="144" priority="186">
      <formula>AND(NOT(ISBLANK($F88)), $F88 &gt;= TODAY(), $F88 &lt; DATE(YEAR(TODAY()),9, 9), OR($H88 = "진행중", $H88 = "예정"))</formula>
    </cfRule>
  </conditionalFormatting>
  <conditionalFormatting sqref="F89">
    <cfRule type="expression" dxfId="143" priority="181">
      <formula>($H89 = "완료")</formula>
    </cfRule>
    <cfRule type="expression" dxfId="142" priority="182">
      <formula>AND(NOT(ISBLANK($F89)), OR($F89 &lt; TODAY(), $F89 &gt; DATE(YEAR(TODAY()),9, 9)))</formula>
    </cfRule>
    <cfRule type="expression" dxfId="141" priority="183">
      <formula>AND(NOT(ISBLANK($F89)), $F89 &gt;= TODAY(), $F89 &lt; DATE(YEAR(TODAY()),9, 9), OR($H89 = "진행중", $H89 = "예정"))</formula>
    </cfRule>
  </conditionalFormatting>
  <conditionalFormatting sqref="F90">
    <cfRule type="expression" dxfId="140" priority="178">
      <formula>($H90 = "완료")</formula>
    </cfRule>
    <cfRule type="expression" dxfId="139" priority="179">
      <formula>AND(NOT(ISBLANK($F90)), OR($F90 &lt; TODAY(), $F90 &gt; DATE(YEAR(TODAY()),9, 9)))</formula>
    </cfRule>
    <cfRule type="expression" dxfId="138" priority="180">
      <formula>AND(NOT(ISBLANK($F90)), $F90 &gt;= TODAY(), $F90 &lt; DATE(YEAR(TODAY()),9, 9), OR($H90 = "진행중", $H90 = "예정"))</formula>
    </cfRule>
  </conditionalFormatting>
  <conditionalFormatting sqref="F91">
    <cfRule type="expression" dxfId="137" priority="175">
      <formula>($H91 = "완료")</formula>
    </cfRule>
    <cfRule type="expression" dxfId="136" priority="176">
      <formula>AND(NOT(ISBLANK($F91)), OR($F91 &lt; TODAY(), $F91 &gt; DATE(YEAR(TODAY()),9, 9)))</formula>
    </cfRule>
    <cfRule type="expression" dxfId="135" priority="177">
      <formula>AND(NOT(ISBLANK($F91)), $F91 &gt;= TODAY(), $F91 &lt; DATE(YEAR(TODAY()),9, 9), OR($H91 = "진행중", $H91 = "예정"))</formula>
    </cfRule>
  </conditionalFormatting>
  <conditionalFormatting sqref="F92">
    <cfRule type="expression" dxfId="134" priority="172">
      <formula>($H92 = "완료")</formula>
    </cfRule>
    <cfRule type="expression" dxfId="133" priority="173">
      <formula>AND(NOT(ISBLANK($F92)), OR($F92 &lt; TODAY(), $F92 &gt; DATE(YEAR(TODAY()),9, 9)))</formula>
    </cfRule>
    <cfRule type="expression" dxfId="132" priority="174">
      <formula>AND(NOT(ISBLANK($F92)), $F92 &gt;= TODAY(), $F92 &lt; DATE(YEAR(TODAY()),9, 9), OR($H92 = "진행중", $H92 = "예정"))</formula>
    </cfRule>
  </conditionalFormatting>
  <conditionalFormatting sqref="F93">
    <cfRule type="expression" dxfId="131" priority="169">
      <formula>($H93 = "완료")</formula>
    </cfRule>
    <cfRule type="expression" dxfId="130" priority="170">
      <formula>AND(NOT(ISBLANK($F93)), OR($F93 &lt; TODAY(), $F93 &gt; DATE(YEAR(TODAY()),9, 9)))</formula>
    </cfRule>
    <cfRule type="expression" dxfId="129" priority="171">
      <formula>AND(NOT(ISBLANK($F93)), $F93 &gt;= TODAY(), $F93 &lt; DATE(YEAR(TODAY()),9, 9), OR($H93 = "진행중", $H93 = "예정"))</formula>
    </cfRule>
  </conditionalFormatting>
  <conditionalFormatting sqref="F94">
    <cfRule type="expression" dxfId="128" priority="166">
      <formula>($H94 = "완료")</formula>
    </cfRule>
    <cfRule type="expression" dxfId="127" priority="167">
      <formula>AND(NOT(ISBLANK($F94)), OR($F94 &lt; TODAY(), $F94 &gt; DATE(YEAR(TODAY()),9, 9)))</formula>
    </cfRule>
    <cfRule type="expression" dxfId="126" priority="168">
      <formula>AND(NOT(ISBLANK($F94)), $F94 &gt;= TODAY(), $F94 &lt; DATE(YEAR(TODAY()),9, 9), OR($H94 = "진행중", $H94 = "예정"))</formula>
    </cfRule>
  </conditionalFormatting>
  <conditionalFormatting sqref="F95">
    <cfRule type="expression" dxfId="125" priority="163">
      <formula>($H95 = "완료")</formula>
    </cfRule>
    <cfRule type="expression" dxfId="124" priority="164">
      <formula>AND(NOT(ISBLANK($F95)), OR($F95 &lt; TODAY(), $F95 &gt; DATE(YEAR(TODAY()),9, 9)))</formula>
    </cfRule>
    <cfRule type="expression" dxfId="123" priority="165">
      <formula>AND(NOT(ISBLANK($F95)), $F95 &gt;= TODAY(), $F95 &lt; DATE(YEAR(TODAY()),9, 9), OR($H95 = "진행중", $H95 = "예정"))</formula>
    </cfRule>
  </conditionalFormatting>
  <conditionalFormatting sqref="F96">
    <cfRule type="expression" dxfId="122" priority="160">
      <formula>($H96 = "완료")</formula>
    </cfRule>
    <cfRule type="expression" dxfId="121" priority="161">
      <formula>AND(NOT(ISBLANK($F96)), OR($F96 &lt; TODAY(), $F96 &gt; DATE(YEAR(TODAY()),9, 9)))</formula>
    </cfRule>
    <cfRule type="expression" dxfId="120" priority="162">
      <formula>AND(NOT(ISBLANK($F96)), $F96 &gt;= TODAY(), $F96 &lt; DATE(YEAR(TODAY()),9, 9), OR($H96 = "진행중", $H96 = "예정"))</formula>
    </cfRule>
  </conditionalFormatting>
  <conditionalFormatting sqref="F97">
    <cfRule type="expression" dxfId="119" priority="157">
      <formula>($H97 = "완료")</formula>
    </cfRule>
    <cfRule type="expression" dxfId="118" priority="158">
      <formula>AND(NOT(ISBLANK($F97)), OR($F97 &lt; TODAY(), $F97 &gt; DATE(YEAR(TODAY()),9, 9)))</formula>
    </cfRule>
    <cfRule type="expression" dxfId="117" priority="159">
      <formula>AND(NOT(ISBLANK($F97)), $F97 &gt;= TODAY(), $F97 &lt; DATE(YEAR(TODAY()),9, 9), OR($H97 = "진행중", $H97 = "예정"))</formula>
    </cfRule>
  </conditionalFormatting>
  <conditionalFormatting sqref="F98">
    <cfRule type="expression" dxfId="116" priority="154">
      <formula>($H98 = "완료")</formula>
    </cfRule>
    <cfRule type="expression" dxfId="115" priority="155">
      <formula>AND(NOT(ISBLANK($F98)), OR($F98 &lt; TODAY(), $F98 &gt; DATE(YEAR(TODAY()),9, 9)))</formula>
    </cfRule>
    <cfRule type="expression" dxfId="114" priority="156">
      <formula>AND(NOT(ISBLANK($F98)), $F98 &gt;= TODAY(), $F98 &lt; DATE(YEAR(TODAY()),9, 9), OR($H98 = "진행중", $H98 = "예정"))</formula>
    </cfRule>
  </conditionalFormatting>
  <conditionalFormatting sqref="F99">
    <cfRule type="expression" dxfId="113" priority="151">
      <formula>($H99 = "완료")</formula>
    </cfRule>
    <cfRule type="expression" dxfId="112" priority="152">
      <formula>AND(NOT(ISBLANK($F99)), OR($F99 &lt; TODAY(), $F99 &gt; DATE(YEAR(TODAY()),9, 9)))</formula>
    </cfRule>
    <cfRule type="expression" dxfId="111" priority="153">
      <formula>AND(NOT(ISBLANK($F99)), $F99 &gt;= TODAY(), $F99 &lt; DATE(YEAR(TODAY()),9, 9), OR($H99 = "진행중", $H99 = "예정"))</formula>
    </cfRule>
  </conditionalFormatting>
  <conditionalFormatting sqref="F100">
    <cfRule type="expression" dxfId="110" priority="148">
      <formula>($H100 = "완료")</formula>
    </cfRule>
    <cfRule type="expression" dxfId="109" priority="149">
      <formula>AND(NOT(ISBLANK($F100)), OR($F100 &lt; TODAY(), $F100 &gt; DATE(YEAR(TODAY()),9, 9)))</formula>
    </cfRule>
    <cfRule type="expression" dxfId="108" priority="150">
      <formula>AND(NOT(ISBLANK($F100)), $F100 &gt;= TODAY(), $F100 &lt; DATE(YEAR(TODAY()),9, 9), OR($H100 = "진행중", $H100 = "예정"))</formula>
    </cfRule>
  </conditionalFormatting>
  <conditionalFormatting sqref="F101">
    <cfRule type="expression" dxfId="107" priority="145">
      <formula>($H101 = "완료")</formula>
    </cfRule>
    <cfRule type="expression" dxfId="106" priority="146">
      <formula>AND(NOT(ISBLANK($F101)), OR($F101 &lt; TODAY(), $F101 &gt; DATE(YEAR(TODAY()),9, 9)))</formula>
    </cfRule>
    <cfRule type="expression" dxfId="105" priority="147">
      <formula>AND(NOT(ISBLANK($F101)), $F101 &gt;= TODAY(), $F101 &lt; DATE(YEAR(TODAY()),9, 9), OR($H101 = "진행중", $H101 = "예정"))</formula>
    </cfRule>
  </conditionalFormatting>
  <conditionalFormatting sqref="F103">
    <cfRule type="expression" dxfId="104" priority="142">
      <formula>($H103 = "완료")</formula>
    </cfRule>
    <cfRule type="expression" dxfId="103" priority="143">
      <formula>AND(NOT(ISBLANK($F103)), OR($F103 &lt; TODAY(), $F103 &gt; DATE(YEAR(TODAY()),8, 27)))</formula>
    </cfRule>
    <cfRule type="expression" dxfId="102" priority="144">
      <formula>AND(NOT(ISBLANK($F103)), $F103 &gt;= TODAY(), $F103 &lt; DATE(YEAR(TODAY()),8, 27), OR($H103 = "진행중", $H103 = "예정"))</formula>
    </cfRule>
  </conditionalFormatting>
  <conditionalFormatting sqref="F104">
    <cfRule type="expression" dxfId="101" priority="139">
      <formula>($H104 = "완료")</formula>
    </cfRule>
    <cfRule type="expression" dxfId="100" priority="140">
      <formula>AND(NOT(ISBLANK($F104)), OR($F104 &lt; TODAY(), $F104 &gt; DATE(YEAR(TODAY()),8, 27)))</formula>
    </cfRule>
    <cfRule type="expression" dxfId="99" priority="141">
      <formula>AND(NOT(ISBLANK($F104)), $F104 &gt;= TODAY(), $F104 &lt; DATE(YEAR(TODAY()),8, 27), OR($H104 = "진행중", $H104 = "예정"))</formula>
    </cfRule>
  </conditionalFormatting>
  <conditionalFormatting sqref="F105">
    <cfRule type="expression" dxfId="98" priority="136">
      <formula>($H105 = "완료")</formula>
    </cfRule>
    <cfRule type="expression" dxfId="97" priority="137">
      <formula>AND(NOT(ISBLANK($F105)), OR($F105 &lt; TODAY(), $F105 &gt; DATE(YEAR(TODAY()),8, 27)))</formula>
    </cfRule>
    <cfRule type="expression" dxfId="96" priority="138">
      <formula>AND(NOT(ISBLANK($F105)), $F105 &gt;= TODAY(), $F105 &lt; DATE(YEAR(TODAY()),8, 27), OR($H105 = "진행중", $H105 = "예정"))</formula>
    </cfRule>
  </conditionalFormatting>
  <conditionalFormatting sqref="F106">
    <cfRule type="expression" dxfId="95" priority="133">
      <formula>($H106 = "완료")</formula>
    </cfRule>
    <cfRule type="expression" dxfId="94" priority="134">
      <formula>AND(NOT(ISBLANK($F106)), OR($F106 &lt; TODAY(), $F106 &gt; DATE(YEAR(TODAY()),8, 27)))</formula>
    </cfRule>
    <cfRule type="expression" dxfId="93" priority="135">
      <formula>AND(NOT(ISBLANK($F106)), $F106 &gt;= TODAY(), $F106 &lt; DATE(YEAR(TODAY()),8, 27), OR($H106 = "진행중", $H106 = "예정"))</formula>
    </cfRule>
  </conditionalFormatting>
  <conditionalFormatting sqref="F107">
    <cfRule type="expression" dxfId="92" priority="130">
      <formula>($H107 = "완료")</formula>
    </cfRule>
    <cfRule type="expression" dxfId="91" priority="131">
      <formula>AND(NOT(ISBLANK($F107)), OR($F107 &lt; TODAY(), $F107 &gt; DATE(YEAR(TODAY()),8, 27)))</formula>
    </cfRule>
    <cfRule type="expression" dxfId="90" priority="132">
      <formula>AND(NOT(ISBLANK($F107)), $F107 &gt;= TODAY(), $F107 &lt; DATE(YEAR(TODAY()),8, 27), OR($H107 = "진행중", $H107 = "예정"))</formula>
    </cfRule>
  </conditionalFormatting>
  <conditionalFormatting sqref="F108">
    <cfRule type="expression" dxfId="89" priority="127">
      <formula>($H108 = "완료")</formula>
    </cfRule>
    <cfRule type="expression" dxfId="88" priority="128">
      <formula>AND(NOT(ISBLANK($F108)), OR($F108 &lt; TODAY(), $F108 &gt; DATE(YEAR(TODAY()),8, 27)))</formula>
    </cfRule>
    <cfRule type="expression" dxfId="87" priority="129">
      <formula>AND(NOT(ISBLANK($F108)), $F108 &gt;= TODAY(), $F108 &lt; DATE(YEAR(TODAY()),8, 27), OR($H108 = "진행중", $H108 = "예정"))</formula>
    </cfRule>
  </conditionalFormatting>
  <conditionalFormatting sqref="F109">
    <cfRule type="expression" dxfId="86" priority="124">
      <formula>($H109 = "완료")</formula>
    </cfRule>
    <cfRule type="expression" dxfId="85" priority="125">
      <formula>AND(NOT(ISBLANK($F109)), OR($F109 &lt; TODAY(), $F109 &gt; DATE(YEAR(TODAY()),8, 27)))</formula>
    </cfRule>
    <cfRule type="expression" dxfId="84" priority="126">
      <formula>AND(NOT(ISBLANK($F109)), $F109 &gt;= TODAY(), $F109 &lt; DATE(YEAR(TODAY()),8, 27), OR($H109 = "진행중", $H109 = "예정"))</formula>
    </cfRule>
  </conditionalFormatting>
  <conditionalFormatting sqref="F110">
    <cfRule type="expression" dxfId="83" priority="121">
      <formula>($H110 = "완료")</formula>
    </cfRule>
    <cfRule type="expression" dxfId="82" priority="122">
      <formula>AND(NOT(ISBLANK($F110)), OR($F110 &lt; TODAY(), $F110 &gt; DATE(YEAR(TODAY()),8, 27)))</formula>
    </cfRule>
    <cfRule type="expression" dxfId="81" priority="123">
      <formula>AND(NOT(ISBLANK($F110)), $F110 &gt;= TODAY(), $F110 &lt; DATE(YEAR(TODAY()),8, 27), OR($H110 = "진행중", $H110 = "예정"))</formula>
    </cfRule>
  </conditionalFormatting>
  <conditionalFormatting sqref="F111">
    <cfRule type="expression" dxfId="80" priority="118">
      <formula>($H111 = "완료")</formula>
    </cfRule>
    <cfRule type="expression" dxfId="79" priority="119">
      <formula>AND(NOT(ISBLANK($F111)), OR($F111 &lt; TODAY(), $F111 &gt; DATE(YEAR(TODAY()),8, 27)))</formula>
    </cfRule>
    <cfRule type="expression" dxfId="78" priority="120">
      <formula>AND(NOT(ISBLANK($F111)), $F111 &gt;= TODAY(), $F111 &lt; DATE(YEAR(TODAY()),8, 27), OR($H111 = "진행중", $H111 = "예정"))</formula>
    </cfRule>
  </conditionalFormatting>
  <conditionalFormatting sqref="F112">
    <cfRule type="expression" dxfId="77" priority="115">
      <formula>($H112 = "완료")</formula>
    </cfRule>
    <cfRule type="expression" dxfId="76" priority="116">
      <formula>AND(NOT(ISBLANK($F112)), OR($F112 &lt; TODAY(), $F112 &gt; DATE(YEAR(TODAY()),8, 27)))</formula>
    </cfRule>
    <cfRule type="expression" dxfId="75" priority="117">
      <formula>AND(NOT(ISBLANK($F112)), $F112 &gt;= TODAY(), $F112 &lt; DATE(YEAR(TODAY()),8, 27), OR($H112 = "진행중", $H112 = "예정"))</formula>
    </cfRule>
  </conditionalFormatting>
  <conditionalFormatting sqref="F113">
    <cfRule type="expression" dxfId="74" priority="112">
      <formula>($H113 = "완료")</formula>
    </cfRule>
    <cfRule type="expression" dxfId="73" priority="113">
      <formula>AND(NOT(ISBLANK($F113)), OR($F113 &lt; TODAY(), $F113 &gt; DATE(YEAR(TODAY()),8, 27)))</formula>
    </cfRule>
    <cfRule type="expression" dxfId="72" priority="114">
      <formula>AND(NOT(ISBLANK($F113)), $F113 &gt;= TODAY(), $F113 &lt; DATE(YEAR(TODAY()),8, 27), OR($H113 = "진행중", $H113 = "예정"))</formula>
    </cfRule>
  </conditionalFormatting>
  <conditionalFormatting sqref="F114">
    <cfRule type="expression" dxfId="71" priority="109">
      <formula>($H114 = "완료")</formula>
    </cfRule>
    <cfRule type="expression" dxfId="70" priority="110">
      <formula>AND(NOT(ISBLANK($F114)), OR($F114 &lt; TODAY(), $F114 &gt; DATE(YEAR(TODAY()),8, 27)))</formula>
    </cfRule>
    <cfRule type="expression" dxfId="69" priority="111">
      <formula>AND(NOT(ISBLANK($F114)), $F114 &gt;= TODAY(), $F114 &lt; DATE(YEAR(TODAY()),8, 27), OR($H114 = "진행중", $H114 = "예정"))</formula>
    </cfRule>
  </conditionalFormatting>
  <conditionalFormatting sqref="F115">
    <cfRule type="expression" dxfId="68" priority="103">
      <formula>($H115 = "완료")</formula>
    </cfRule>
    <cfRule type="expression" dxfId="67" priority="104">
      <formula>AND(NOT(ISBLANK($F115)), OR($F115 &lt; TODAY(), $F115 &gt; DATE(YEAR(TODAY()),8, 27)))</formula>
    </cfRule>
    <cfRule type="expression" dxfId="66" priority="105">
      <formula>AND(NOT(ISBLANK($F115)), $F115 &gt;= TODAY(), $F115 &lt; DATE(YEAR(TODAY()),8, 27), OR($H115 = "진행중", $H115 = "예정"))</formula>
    </cfRule>
  </conditionalFormatting>
  <conditionalFormatting sqref="F116">
    <cfRule type="expression" dxfId="65" priority="100">
      <formula>($H116 = "완료")</formula>
    </cfRule>
    <cfRule type="expression" dxfId="64" priority="101">
      <formula>AND(NOT(ISBLANK($F116)), OR($F116 &lt; TODAY(), $F116 &gt; DATE(YEAR(TODAY()),8, 27)))</formula>
    </cfRule>
    <cfRule type="expression" dxfId="63" priority="102">
      <formula>AND(NOT(ISBLANK($F116)), $F116 &gt;= TODAY(), $F116 &lt; DATE(YEAR(TODAY()),8, 27), OR($H116 = "진행중", $H116 = "예정"))</formula>
    </cfRule>
  </conditionalFormatting>
  <conditionalFormatting sqref="F117">
    <cfRule type="expression" dxfId="62" priority="97">
      <formula>($H117 = "완료")</formula>
    </cfRule>
    <cfRule type="expression" dxfId="61" priority="98">
      <formula>AND(NOT(ISBLANK($F117)), OR($F117 &lt; TODAY(), $F117 &gt; DATE(YEAR(TODAY()),8, 27)))</formula>
    </cfRule>
    <cfRule type="expression" dxfId="60" priority="99">
      <formula>AND(NOT(ISBLANK($F117)), $F117 &gt;= TODAY(), $F117 &lt; DATE(YEAR(TODAY()),8, 27), OR($H117 = "진행중", $H117 = "예정"))</formula>
    </cfRule>
  </conditionalFormatting>
  <conditionalFormatting sqref="F118">
    <cfRule type="expression" dxfId="59" priority="94">
      <formula>($H118 = "완료")</formula>
    </cfRule>
    <cfRule type="expression" dxfId="58" priority="95">
      <formula>AND(NOT(ISBLANK($F118)), OR($F118 &lt; TODAY(), $F118 &gt; DATE(YEAR(TODAY()),8, 27)))</formula>
    </cfRule>
    <cfRule type="expression" dxfId="57" priority="96">
      <formula>AND(NOT(ISBLANK($F118)), $F118 &gt;= TODAY(), $F118 &lt; DATE(YEAR(TODAY()),8, 27), OR($H118 = "진행중", $H118 = "예정"))</formula>
    </cfRule>
  </conditionalFormatting>
  <conditionalFormatting sqref="F119">
    <cfRule type="expression" dxfId="56" priority="91">
      <formula>($H119 = "완료")</formula>
    </cfRule>
    <cfRule type="expression" dxfId="55" priority="92">
      <formula>AND(NOT(ISBLANK($F119)), OR($F119 &lt; TODAY(), $F119 &gt; DATE(YEAR(TODAY()),8, 27)))</formula>
    </cfRule>
    <cfRule type="expression" dxfId="54" priority="93">
      <formula>AND(NOT(ISBLANK($F119)), $F119 &gt;= TODAY(), $F119 &lt; DATE(YEAR(TODAY()),8, 27), OR($H119 = "진행중", $H119 = "예정"))</formula>
    </cfRule>
  </conditionalFormatting>
  <conditionalFormatting sqref="F120">
    <cfRule type="expression" dxfId="53" priority="88">
      <formula>($H120 = "완료")</formula>
    </cfRule>
    <cfRule type="expression" dxfId="52" priority="89">
      <formula>AND(NOT(ISBLANK($F120)), OR($F120 &lt; TODAY(), $F120 &gt; DATE(YEAR(TODAY()),8, 27)))</formula>
    </cfRule>
    <cfRule type="expression" dxfId="51" priority="90">
      <formula>AND(NOT(ISBLANK($F120)), $F120 &gt;= TODAY(), $F120 &lt; DATE(YEAR(TODAY()),8, 27), OR($H120 = "진행중", $H120 = "예정"))</formula>
    </cfRule>
  </conditionalFormatting>
  <conditionalFormatting sqref="F121">
    <cfRule type="expression" dxfId="50" priority="85">
      <formula>($H121 = "완료")</formula>
    </cfRule>
    <cfRule type="expression" dxfId="49" priority="86">
      <formula>AND(NOT(ISBLANK($F121)), OR($F121 &lt; TODAY(), $F121 &gt; DATE(YEAR(TODAY()),8, 27)))</formula>
    </cfRule>
    <cfRule type="expression" dxfId="48" priority="87">
      <formula>AND(NOT(ISBLANK($F121)), $F121 &gt;= TODAY(), $F121 &lt; DATE(YEAR(TODAY()),8, 27), OR($H121 = "진행중", $H121 = "예정"))</formula>
    </cfRule>
  </conditionalFormatting>
  <conditionalFormatting sqref="F122">
    <cfRule type="expression" dxfId="47" priority="82">
      <formula>($H122 = "완료")</formula>
    </cfRule>
    <cfRule type="expression" dxfId="46" priority="83">
      <formula>AND(NOT(ISBLANK($F122)), OR($F122 &lt; TODAY(), $F122 &gt; DATE(YEAR(TODAY()),8, 27)))</formula>
    </cfRule>
    <cfRule type="expression" dxfId="45" priority="84">
      <formula>AND(NOT(ISBLANK($F122)), $F122 &gt;= TODAY(), $F122 &lt; DATE(YEAR(TODAY()),8, 27), OR($H122 = "진행중", $H122 = "예정"))</formula>
    </cfRule>
  </conditionalFormatting>
  <conditionalFormatting sqref="F123">
    <cfRule type="expression" dxfId="44" priority="79">
      <formula>($H123 = "완료")</formula>
    </cfRule>
    <cfRule type="expression" dxfId="43" priority="80">
      <formula>AND(NOT(ISBLANK($F123)), OR($F123 &lt; TODAY(), $F123 &gt; DATE(YEAR(TODAY()),8, 27)))</formula>
    </cfRule>
    <cfRule type="expression" dxfId="42" priority="81">
      <formula>AND(NOT(ISBLANK($F123)), $F123 &gt;= TODAY(), $F123 &lt; DATE(YEAR(TODAY()),8, 27), OR($H123 = "진행중", $H123 = "예정"))</formula>
    </cfRule>
  </conditionalFormatting>
  <conditionalFormatting sqref="F124">
    <cfRule type="expression" dxfId="41" priority="76">
      <formula>($H124 = "완료")</formula>
    </cfRule>
    <cfRule type="expression" dxfId="40" priority="77">
      <formula>AND(NOT(ISBLANK($F124)), OR($F124 &lt; TODAY(), $F124 &gt; DATE(YEAR(TODAY()),8, 27)))</formula>
    </cfRule>
    <cfRule type="expression" dxfId="39" priority="78">
      <formula>AND(NOT(ISBLANK($F124)), $F124 &gt;= TODAY(), $F124 &lt; DATE(YEAR(TODAY()),8, 27), OR($H124 = "진행중", $H124 = "예정"))</formula>
    </cfRule>
  </conditionalFormatting>
  <conditionalFormatting sqref="F125">
    <cfRule type="expression" dxfId="38" priority="73">
      <formula>($H125 = "완료")</formula>
    </cfRule>
    <cfRule type="expression" dxfId="37" priority="74">
      <formula>AND(NOT(ISBLANK($F125)), OR($F125 &lt; TODAY(), $F125 &gt; DATE(YEAR(TODAY()),8, 27)))</formula>
    </cfRule>
    <cfRule type="expression" dxfId="36" priority="75">
      <formula>AND(NOT(ISBLANK($F125)), $F125 &gt;= TODAY(), $F125 &lt; DATE(YEAR(TODAY()),8, 27), OR($H125 = "진행중", $H125 = "예정"))</formula>
    </cfRule>
  </conditionalFormatting>
  <conditionalFormatting sqref="F126">
    <cfRule type="expression" dxfId="35" priority="70">
      <formula>($H126 = "완료")</formula>
    </cfRule>
    <cfRule type="expression" dxfId="34" priority="71">
      <formula>AND(NOT(ISBLANK($F126)), OR($F126 &lt; TODAY(), $F126 &gt; DATE(YEAR(TODAY()),8, 27)))</formula>
    </cfRule>
    <cfRule type="expression" dxfId="33" priority="72">
      <formula>AND(NOT(ISBLANK($F126)), $F126 &gt;= TODAY(), $F126 &lt; DATE(YEAR(TODAY()),8, 27), OR($H126 = "진행중", $H126 = "예정"))</formula>
    </cfRule>
  </conditionalFormatting>
  <conditionalFormatting sqref="F127">
    <cfRule type="expression" dxfId="32" priority="67">
      <formula>($H127 = "완료")</formula>
    </cfRule>
    <cfRule type="expression" dxfId="31" priority="68">
      <formula>AND(NOT(ISBLANK($F127)), OR($F127 &lt; TODAY(), $F127 &gt; DATE(YEAR(TODAY()),8, 27)))</formula>
    </cfRule>
    <cfRule type="expression" dxfId="30" priority="69">
      <formula>AND(NOT(ISBLANK($F127)), $F127 &gt;= TODAY(), $F127 &lt; DATE(YEAR(TODAY()),8, 27), OR($H127 = "진행중", $H127 = "예정"))</formula>
    </cfRule>
  </conditionalFormatting>
  <conditionalFormatting sqref="F128">
    <cfRule type="expression" dxfId="29" priority="64">
      <formula>($H128 = "완료")</formula>
    </cfRule>
    <cfRule type="expression" dxfId="28" priority="65">
      <formula>AND(NOT(ISBLANK($F128)), OR($F128 &lt; TODAY(), $F128 &gt; DATE(YEAR(TODAY()),8, 27)))</formula>
    </cfRule>
    <cfRule type="expression" dxfId="27" priority="66">
      <formula>AND(NOT(ISBLANK($F128)), $F128 &gt;= TODAY(), $F128 &lt; DATE(YEAR(TODAY()),8, 27), OR($H128 = "진행중", $H128 = "예정"))</formula>
    </cfRule>
  </conditionalFormatting>
  <conditionalFormatting sqref="F129">
    <cfRule type="expression" dxfId="26" priority="61">
      <formula>($H129 = "완료")</formula>
    </cfRule>
    <cfRule type="expression" dxfId="25" priority="62">
      <formula>AND(NOT(ISBLANK($F129)), OR($F129 &lt; TODAY(), $F129 &gt; DATE(YEAR(TODAY()),8, 27)))</formula>
    </cfRule>
    <cfRule type="expression" dxfId="24" priority="63">
      <formula>AND(NOT(ISBLANK($F129)), $F129 &gt;= TODAY(), $F129 &lt; DATE(YEAR(TODAY()),8, 27), OR($H129 = "진행중", $H129 = "예정"))</formula>
    </cfRule>
  </conditionalFormatting>
  <conditionalFormatting sqref="F130">
    <cfRule type="expression" dxfId="23" priority="58">
      <formula>($H130 = "완료")</formula>
    </cfRule>
    <cfRule type="expression" dxfId="22" priority="59">
      <formula>AND(NOT(ISBLANK($F130)), OR($F130 &lt; TODAY(), $F130 &gt; DATE(YEAR(TODAY()),8, 27)))</formula>
    </cfRule>
    <cfRule type="expression" dxfId="21" priority="60">
      <formula>AND(NOT(ISBLANK($F130)), $F130 &gt;= TODAY(), $F130 &lt; DATE(YEAR(TODAY()),8, 27), OR($H130 = "진행중", $H130 = "예정"))</formula>
    </cfRule>
  </conditionalFormatting>
  <conditionalFormatting sqref="F131">
    <cfRule type="expression" dxfId="20" priority="55">
      <formula>($H131 = "완료")</formula>
    </cfRule>
    <cfRule type="expression" dxfId="19" priority="56">
      <formula>AND(NOT(ISBLANK($F131)), OR($F131 &lt; TODAY(), $F131 &gt; DATE(YEAR(TODAY()),8, 27)))</formula>
    </cfRule>
    <cfRule type="expression" dxfId="18" priority="57">
      <formula>AND(NOT(ISBLANK($F131)), $F131 &gt;= TODAY(), $F131 &lt; DATE(YEAR(TODAY()),8, 27), OR($H131 = "진행중", $H131 = "예정"))</formula>
    </cfRule>
  </conditionalFormatting>
  <conditionalFormatting sqref="F132">
    <cfRule type="expression" dxfId="17" priority="52">
      <formula>($H132 = "완료")</formula>
    </cfRule>
    <cfRule type="expression" dxfId="16" priority="53">
      <formula>AND(NOT(ISBLANK($F132)), OR($F132 &lt; TODAY(), $F132 &gt; DATE(YEAR(TODAY()),8, 27)))</formula>
    </cfRule>
    <cfRule type="expression" dxfId="15" priority="54">
      <formula>AND(NOT(ISBLANK($F132)), $F132 &gt;= TODAY(), $F132 &lt; DATE(YEAR(TODAY()),8, 27), OR($H132 = "진행중", $H132 = "예정"))</formula>
    </cfRule>
  </conditionalFormatting>
  <conditionalFormatting sqref="F133">
    <cfRule type="expression" dxfId="14" priority="13">
      <formula>($H133 = "완료")</formula>
    </cfRule>
    <cfRule type="expression" dxfId="13" priority="14">
      <formula>AND(NOT(ISBLANK($F133)), OR($F133 &lt; TODAY(), $F133 &gt; DATE(YEAR(TODAY()),9, 12)))</formula>
    </cfRule>
    <cfRule type="expression" dxfId="12" priority="15">
      <formula>AND(NOT(ISBLANK($F133)), $F133 &gt;= TODAY(), $F133 &lt; DATE(YEAR(TODAY()),9, 13), OR($H133 = "진행중", $H133 = "예정"))</formula>
    </cfRule>
  </conditionalFormatting>
  <conditionalFormatting sqref="F134">
    <cfRule type="expression" dxfId="11" priority="10">
      <formula>($H134 = "완료")</formula>
    </cfRule>
    <cfRule type="expression" dxfId="10" priority="11">
      <formula>AND(NOT(ISBLANK($F134)), OR($F134 &lt; TODAY(), $F134 &gt; DATE(YEAR(TODAY()),9, 12)))</formula>
    </cfRule>
    <cfRule type="expression" dxfId="9" priority="12">
      <formula>AND(NOT(ISBLANK($F134)), $F134 &gt;= TODAY(), $F134 &lt; DATE(YEAR(TODAY()),9, 13), OR($H134 = "진행중", $H134 = "예정"))</formula>
    </cfRule>
  </conditionalFormatting>
  <conditionalFormatting sqref="F135">
    <cfRule type="expression" dxfId="8" priority="7">
      <formula>($H135 = "완료")</formula>
    </cfRule>
    <cfRule type="expression" dxfId="7" priority="8">
      <formula>AND(NOT(ISBLANK($F135)), OR($F135 &lt; TODAY(), $F135 &gt; DATE(YEAR(TODAY()),9, 12)))</formula>
    </cfRule>
    <cfRule type="expression" dxfId="6" priority="9">
      <formula>AND(NOT(ISBLANK($F135)), $F135 &gt;= TODAY(), $F135 &lt; DATE(YEAR(TODAY()),9, 13), OR($H135 = "진행중", $H135 = "예정"))</formula>
    </cfRule>
  </conditionalFormatting>
  <conditionalFormatting sqref="F136">
    <cfRule type="expression" dxfId="5" priority="4">
      <formula>($H136 = "완료")</formula>
    </cfRule>
    <cfRule type="expression" dxfId="4" priority="5">
      <formula>AND(NOT(ISBLANK($F136)), OR($F136 &lt; TODAY(), $F136 &gt; DATE(YEAR(TODAY()),9, 12)))</formula>
    </cfRule>
    <cfRule type="expression" dxfId="3" priority="6">
      <formula>AND(NOT(ISBLANK($F136)), $F136 &gt;= TODAY(), $F136 &lt; DATE(YEAR(TODAY()),9, 13), OR($H136 = "진행중", $H136 = "예정"))</formula>
    </cfRule>
  </conditionalFormatting>
  <conditionalFormatting sqref="F137">
    <cfRule type="expression" dxfId="2" priority="1">
      <formula>($H137 = "완료")</formula>
    </cfRule>
    <cfRule type="expression" dxfId="1" priority="2">
      <formula>AND(NOT(ISBLANK($F137)), OR($F137 &lt; TODAY(), $F137 &gt; DATE(YEAR(TODAY()),9, 12)))</formula>
    </cfRule>
    <cfRule type="expression" dxfId="0" priority="3">
      <formula>AND(NOT(ISBLANK($F137)), $F137 &gt;= TODAY(), $F137 &lt; DATE(YEAR(TODAY()),9, 13), OR($H137 = "진행중", $H137 = "예정"))</formula>
    </cfRule>
  </conditionalFormatting>
  <dataValidations count="1">
    <dataValidation type="date" operator="greaterThan" allowBlank="1" showDropDown="1" sqref="F5:F137">
      <formula1>DATE(YEAR(TODAY()), 3,15)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B9C48F-92D8-4577-8226-E524905CD6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>
          <x14:cfRule type="dataBar" id="{DA57E16C-762C-488B-9BC2-EEA553BE399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</xm:sqref>
        </x14:conditionalFormatting>
        <x14:conditionalFormatting xmlns:xm="http://schemas.microsoft.com/office/excel/2006/main">
          <x14:cfRule type="dataBar" id="{7DF9AEDB-06E1-4955-A626-23521E81EB9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</xm:sqref>
        </x14:conditionalFormatting>
        <x14:conditionalFormatting xmlns:xm="http://schemas.microsoft.com/office/excel/2006/main">
          <x14:cfRule type="dataBar" id="{505F937C-5FA0-4EFA-81EF-CAD61734379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BFBD91DF-68D5-4FF7-9F34-CF15444EFC1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</xm:sqref>
        </x14:conditionalFormatting>
        <x14:conditionalFormatting xmlns:xm="http://schemas.microsoft.com/office/excel/2006/main">
          <x14:cfRule type="dataBar" id="{F4670CFB-EC7C-4D23-B43A-A862BC2E478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8728323A-087D-4A2A-92C1-83461BCF54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</xm:sqref>
        </x14:conditionalFormatting>
        <x14:conditionalFormatting xmlns:xm="http://schemas.microsoft.com/office/excel/2006/main">
          <x14:cfRule type="dataBar" id="{EBF440BF-38C7-44C5-9A6C-8D9D0354A28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87A4BBFA-3614-4A33-842B-AA1946CC925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26888E82-EDFA-41CB-8A3D-E256F6B1E8A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74EBE315-7F01-4512-900B-340B3B11FBE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515E14AF-8E72-4527-8A88-7625FC8C993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07902B9B-0809-4805-A3D0-FB8C7690915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I17</xm:sqref>
        </x14:conditionalFormatting>
        <x14:conditionalFormatting xmlns:xm="http://schemas.microsoft.com/office/excel/2006/main">
          <x14:cfRule type="dataBar" id="{49E2DF75-5255-49E2-9C7E-1CB4CEE67A2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80763E91-0238-4BFD-BBB7-B95497EF73A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I19</xm:sqref>
        </x14:conditionalFormatting>
        <x14:conditionalFormatting xmlns:xm="http://schemas.microsoft.com/office/excel/2006/main">
          <x14:cfRule type="dataBar" id="{764DDF21-B948-4E23-AE81-B19CE7A8956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I20</xm:sqref>
        </x14:conditionalFormatting>
        <x14:conditionalFormatting xmlns:xm="http://schemas.microsoft.com/office/excel/2006/main">
          <x14:cfRule type="dataBar" id="{667ABBFA-8FD6-4F97-AEC6-B0D765BBE0F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I21</xm:sqref>
        </x14:conditionalFormatting>
        <x14:conditionalFormatting xmlns:xm="http://schemas.microsoft.com/office/excel/2006/main">
          <x14:cfRule type="dataBar" id="{14391BF6-6DFE-4211-AD0E-C16AB46207B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85CE62DA-2D21-4097-B96D-3508ABCCFA8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I23</xm:sqref>
        </x14:conditionalFormatting>
        <x14:conditionalFormatting xmlns:xm="http://schemas.microsoft.com/office/excel/2006/main">
          <x14:cfRule type="dataBar" id="{BAAC0AB6-F51E-4544-8C70-BE267487DE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9067F1A4-4BE7-4C15-B6D3-2A6FFC0C722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dataBar" id="{24755D9E-1C89-47DC-A744-E0021A521C2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1BE28F11-1272-4489-BF39-368E1F9EE64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</xm:sqref>
        </x14:conditionalFormatting>
        <x14:conditionalFormatting xmlns:xm="http://schemas.microsoft.com/office/excel/2006/main">
          <x14:cfRule type="dataBar" id="{B59C81FA-2EFB-4892-A4B1-F1FEAB41678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I28</xm:sqref>
        </x14:conditionalFormatting>
        <x14:conditionalFormatting xmlns:xm="http://schemas.microsoft.com/office/excel/2006/main">
          <x14:cfRule type="dataBar" id="{D01CF8D5-87A6-4206-A944-F4EEAC1184E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I29</xm:sqref>
        </x14:conditionalFormatting>
        <x14:conditionalFormatting xmlns:xm="http://schemas.microsoft.com/office/excel/2006/main">
          <x14:cfRule type="dataBar" id="{A1EAB0B0-8A10-4E44-9984-1594CCF606F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I30</xm:sqref>
        </x14:conditionalFormatting>
        <x14:conditionalFormatting xmlns:xm="http://schemas.microsoft.com/office/excel/2006/main">
          <x14:cfRule type="dataBar" id="{43421CE6-9C25-4922-BE78-81C3508D602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</xm:sqref>
        </x14:conditionalFormatting>
        <x14:conditionalFormatting xmlns:xm="http://schemas.microsoft.com/office/excel/2006/main">
          <x14:cfRule type="dataBar" id="{FB507309-1961-4133-947D-677C09AB9BE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EE5449DA-EC14-4E6D-996A-01ADF7C9BA6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</xm:sqref>
        </x14:conditionalFormatting>
        <x14:conditionalFormatting xmlns:xm="http://schemas.microsoft.com/office/excel/2006/main">
          <x14:cfRule type="dataBar" id="{BF43EB30-28E4-41CC-957B-CCE75E4AC2E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8E136BAE-D075-4625-9005-822FB0F7DEE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</xm:sqref>
        </x14:conditionalFormatting>
        <x14:conditionalFormatting xmlns:xm="http://schemas.microsoft.com/office/excel/2006/main">
          <x14:cfRule type="dataBar" id="{55D84A64-3939-42A4-B5EB-462F8A74D2D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30745024-8710-4736-99BC-57B24D5C29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I37</xm:sqref>
        </x14:conditionalFormatting>
        <x14:conditionalFormatting xmlns:xm="http://schemas.microsoft.com/office/excel/2006/main">
          <x14:cfRule type="dataBar" id="{61BE6170-CD7A-4F88-8F04-1A804221C6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40B99698-9D4B-4451-B50E-DC1C52D2EF5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</xm:sqref>
        </x14:conditionalFormatting>
        <x14:conditionalFormatting xmlns:xm="http://schemas.microsoft.com/office/excel/2006/main">
          <x14:cfRule type="dataBar" id="{CD99EB0B-08B6-4053-A1FC-278B296EF6D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I40</xm:sqref>
        </x14:conditionalFormatting>
        <x14:conditionalFormatting xmlns:xm="http://schemas.microsoft.com/office/excel/2006/main">
          <x14:cfRule type="dataBar" id="{234C39BC-A62F-4D9A-992B-E24EF9B617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I41</xm:sqref>
        </x14:conditionalFormatting>
        <x14:conditionalFormatting xmlns:xm="http://schemas.microsoft.com/office/excel/2006/main">
          <x14:cfRule type="dataBar" id="{FB0F38A0-55C3-4D7F-970A-03972B02287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I42</xm:sqref>
        </x14:conditionalFormatting>
        <x14:conditionalFormatting xmlns:xm="http://schemas.microsoft.com/office/excel/2006/main">
          <x14:cfRule type="dataBar" id="{39788904-1EFF-44E2-A2F5-DCD6E7B7B9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A3298EAC-D557-4110-8EC5-E82095B843A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I44</xm:sqref>
        </x14:conditionalFormatting>
        <x14:conditionalFormatting xmlns:xm="http://schemas.microsoft.com/office/excel/2006/main">
          <x14:cfRule type="dataBar" id="{287FBDA6-83AA-4337-8DC8-56FD3779DD8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I45</xm:sqref>
        </x14:conditionalFormatting>
        <x14:conditionalFormatting xmlns:xm="http://schemas.microsoft.com/office/excel/2006/main">
          <x14:cfRule type="dataBar" id="{D5D27007-ADFB-4A61-A5E2-FA55A465F1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I46</xm:sqref>
        </x14:conditionalFormatting>
        <x14:conditionalFormatting xmlns:xm="http://schemas.microsoft.com/office/excel/2006/main">
          <x14:cfRule type="dataBar" id="{0F57B694-94C1-414B-BD9F-11A193F5AFA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6BF6EF93-6E66-4284-B03E-1EF93099500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I48</xm:sqref>
        </x14:conditionalFormatting>
        <x14:conditionalFormatting xmlns:xm="http://schemas.microsoft.com/office/excel/2006/main">
          <x14:cfRule type="dataBar" id="{F539D83E-26AD-4890-910B-90DC04E39AC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I49</xm:sqref>
        </x14:conditionalFormatting>
        <x14:conditionalFormatting xmlns:xm="http://schemas.microsoft.com/office/excel/2006/main">
          <x14:cfRule type="dataBar" id="{A3BB35E5-F17F-4D0C-89D0-A69F77BC92A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F259F28E-BA84-4666-940F-20B34D456A5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B38AABF1-14BD-45C5-8BAB-6D1D15AE0B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I52</xm:sqref>
        </x14:conditionalFormatting>
        <x14:conditionalFormatting xmlns:xm="http://schemas.microsoft.com/office/excel/2006/main">
          <x14:cfRule type="dataBar" id="{7C4FB292-82BE-488B-8B77-4DC84F7C0C4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DBF966CD-016F-4167-B337-35D13EB832C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</xm:sqref>
        </x14:conditionalFormatting>
        <x14:conditionalFormatting xmlns:xm="http://schemas.microsoft.com/office/excel/2006/main">
          <x14:cfRule type="dataBar" id="{E31F0AA8-834B-4FC8-ABAB-39EE40BE23E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I55</xm:sqref>
        </x14:conditionalFormatting>
        <x14:conditionalFormatting xmlns:xm="http://schemas.microsoft.com/office/excel/2006/main">
          <x14:cfRule type="dataBar" id="{B5A6E174-FEC1-4D1B-8B65-3704A376276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I56</xm:sqref>
        </x14:conditionalFormatting>
        <x14:conditionalFormatting xmlns:xm="http://schemas.microsoft.com/office/excel/2006/main">
          <x14:cfRule type="dataBar" id="{EC8D03FF-8BF6-4028-9E94-8AD3C84F7AC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8EA7EDE5-6B15-420A-BA2E-B59A545CDAE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</xm:sqref>
        </x14:conditionalFormatting>
        <x14:conditionalFormatting xmlns:xm="http://schemas.microsoft.com/office/excel/2006/main">
          <x14:cfRule type="dataBar" id="{C84A4B54-B0C4-4981-A961-C02909C791C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I59</xm:sqref>
        </x14:conditionalFormatting>
        <x14:conditionalFormatting xmlns:xm="http://schemas.microsoft.com/office/excel/2006/main">
          <x14:cfRule type="dataBar" id="{C09D0833-E7DB-49D3-B062-0811184241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9DA3C95F-D12F-43EE-A1E7-3CA70ABE5CA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I61</xm:sqref>
        </x14:conditionalFormatting>
        <x14:conditionalFormatting xmlns:xm="http://schemas.microsoft.com/office/excel/2006/main">
          <x14:cfRule type="dataBar" id="{5AADB4D8-1D16-49F6-8F13-97F4978CE05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I62</xm:sqref>
        </x14:conditionalFormatting>
        <x14:conditionalFormatting xmlns:xm="http://schemas.microsoft.com/office/excel/2006/main">
          <x14:cfRule type="dataBar" id="{50E84BAB-C0C6-4DF3-8EFA-30E22DD0977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I63</xm:sqref>
        </x14:conditionalFormatting>
        <x14:conditionalFormatting xmlns:xm="http://schemas.microsoft.com/office/excel/2006/main">
          <x14:cfRule type="dataBar" id="{EF29B62C-DB1F-4892-A547-F5AF94A5ED9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D9135ABD-0BDE-43A6-93DA-5F94E4B3465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</xm:sqref>
        </x14:conditionalFormatting>
        <x14:conditionalFormatting xmlns:xm="http://schemas.microsoft.com/office/excel/2006/main">
          <x14:cfRule type="dataBar" id="{F4A0B001-1BA3-47BD-85AA-2AC4E89A44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I66</xm:sqref>
        </x14:conditionalFormatting>
        <x14:conditionalFormatting xmlns:xm="http://schemas.microsoft.com/office/excel/2006/main">
          <x14:cfRule type="dataBar" id="{24433340-ED15-45A6-88A2-F9DF8F8247D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I67</xm:sqref>
        </x14:conditionalFormatting>
        <x14:conditionalFormatting xmlns:xm="http://schemas.microsoft.com/office/excel/2006/main">
          <x14:cfRule type="dataBar" id="{B54F7819-9351-4025-8B2E-0D7AEB92186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67FDC821-EC08-4819-8A84-676365810C1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6EA8B287-7A32-42E7-AB98-09E920C2FBE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D3E9888C-F2A0-4718-B01F-B06F475643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3632E9F8-1DA1-460B-B1C1-0941B0C51D5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447DB782-DB55-47B3-82EB-4EA5119111D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30BBDEFC-DB9E-4485-85FD-917816FC167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I74</xm:sqref>
        </x14:conditionalFormatting>
        <x14:conditionalFormatting xmlns:xm="http://schemas.microsoft.com/office/excel/2006/main">
          <x14:cfRule type="dataBar" id="{CBFAFA78-B320-466C-9831-2346E12F683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I75</xm:sqref>
        </x14:conditionalFormatting>
        <x14:conditionalFormatting xmlns:xm="http://schemas.microsoft.com/office/excel/2006/main">
          <x14:cfRule type="dataBar" id="{EC6BFC97-7AC3-410B-88EA-8C8021F6A5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FDE51BB8-11DB-40C9-BF95-3B8C327198C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</xm:sqref>
        </x14:conditionalFormatting>
        <x14:conditionalFormatting xmlns:xm="http://schemas.microsoft.com/office/excel/2006/main">
          <x14:cfRule type="dataBar" id="{9C471420-AF8E-4FB4-9C93-235A45A6DCB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I78</xm:sqref>
        </x14:conditionalFormatting>
        <x14:conditionalFormatting xmlns:xm="http://schemas.microsoft.com/office/excel/2006/main">
          <x14:cfRule type="dataBar" id="{1E5248DF-D04B-403A-8A01-495D379E3A1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I79</xm:sqref>
        </x14:conditionalFormatting>
        <x14:conditionalFormatting xmlns:xm="http://schemas.microsoft.com/office/excel/2006/main">
          <x14:cfRule type="dataBar" id="{3A436C33-CC2D-4234-85AF-6F484358834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I80</xm:sqref>
        </x14:conditionalFormatting>
        <x14:conditionalFormatting xmlns:xm="http://schemas.microsoft.com/office/excel/2006/main">
          <x14:cfRule type="dataBar" id="{454A55A8-6C7F-4C63-A1C5-5C500D5DDC7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306025F9-CBE5-45E4-AC3C-4CBFBD0C8BD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DF5497F7-7DF5-466C-808D-5878E371073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I83</xm:sqref>
        </x14:conditionalFormatting>
        <x14:conditionalFormatting xmlns:xm="http://schemas.microsoft.com/office/excel/2006/main">
          <x14:cfRule type="dataBar" id="{4E7C9A3B-1D4F-4FA9-8455-DC8ABD39DC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I84</xm:sqref>
        </x14:conditionalFormatting>
        <x14:conditionalFormatting xmlns:xm="http://schemas.microsoft.com/office/excel/2006/main">
          <x14:cfRule type="dataBar" id="{704A43E4-9FD3-4EED-9150-921694935DD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I85</xm:sqref>
        </x14:conditionalFormatting>
        <x14:conditionalFormatting xmlns:xm="http://schemas.microsoft.com/office/excel/2006/main">
          <x14:cfRule type="dataBar" id="{4A18B360-6252-4781-9253-F93F9F94CF2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I86</xm:sqref>
        </x14:conditionalFormatting>
        <x14:conditionalFormatting xmlns:xm="http://schemas.microsoft.com/office/excel/2006/main">
          <x14:cfRule type="dataBar" id="{449FC399-855D-4296-97BD-23F547AB8CF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DC09F168-6877-44C9-8B2F-1E75C4CA207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</xm:sqref>
        </x14:conditionalFormatting>
        <x14:conditionalFormatting xmlns:xm="http://schemas.microsoft.com/office/excel/2006/main">
          <x14:cfRule type="dataBar" id="{F541EB64-3E2E-43BB-BF2D-7418E9AB1D8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I89</xm:sqref>
        </x14:conditionalFormatting>
        <x14:conditionalFormatting xmlns:xm="http://schemas.microsoft.com/office/excel/2006/main">
          <x14:cfRule type="dataBar" id="{1DF75FB9-7478-4969-AEF1-E8BABA40C4D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I90</xm:sqref>
        </x14:conditionalFormatting>
        <x14:conditionalFormatting xmlns:xm="http://schemas.microsoft.com/office/excel/2006/main">
          <x14:cfRule type="dataBar" id="{6ACD1661-1CE4-4087-8D3D-FD05BE81D89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I91</xm:sqref>
        </x14:conditionalFormatting>
        <x14:conditionalFormatting xmlns:xm="http://schemas.microsoft.com/office/excel/2006/main">
          <x14:cfRule type="dataBar" id="{4144F399-1E2C-43C0-B780-7F6C029AF0D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I92</xm:sqref>
        </x14:conditionalFormatting>
        <x14:conditionalFormatting xmlns:xm="http://schemas.microsoft.com/office/excel/2006/main">
          <x14:cfRule type="dataBar" id="{57DDC098-ED06-49B4-AA60-F3761C55B64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4753CFD2-B794-4091-9140-60820F65BE4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I94</xm:sqref>
        </x14:conditionalFormatting>
        <x14:conditionalFormatting xmlns:xm="http://schemas.microsoft.com/office/excel/2006/main">
          <x14:cfRule type="dataBar" id="{1654CFA1-C581-48D2-9950-6D6ECA895C0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I95</xm:sqref>
        </x14:conditionalFormatting>
        <x14:conditionalFormatting xmlns:xm="http://schemas.microsoft.com/office/excel/2006/main">
          <x14:cfRule type="dataBar" id="{A8530B03-7215-4232-A350-1C04FA8207E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I96</xm:sqref>
        </x14:conditionalFormatting>
        <x14:conditionalFormatting xmlns:xm="http://schemas.microsoft.com/office/excel/2006/main">
          <x14:cfRule type="dataBar" id="{7C51CD4C-90B3-44B2-9E94-0C2631F6F66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I97</xm:sqref>
        </x14:conditionalFormatting>
        <x14:conditionalFormatting xmlns:xm="http://schemas.microsoft.com/office/excel/2006/main">
          <x14:cfRule type="dataBar" id="{5EB0E413-65EF-4BA7-AED5-9A7C776100B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I98</xm:sqref>
        </x14:conditionalFormatting>
        <x14:conditionalFormatting xmlns:xm="http://schemas.microsoft.com/office/excel/2006/main">
          <x14:cfRule type="dataBar" id="{5DFEA790-6B73-42B1-BE25-D8E6A9B35BF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56DBAFEF-E5A8-48BD-AC35-2EFAE12B4AA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I100</xm:sqref>
        </x14:conditionalFormatting>
        <x14:conditionalFormatting xmlns:xm="http://schemas.microsoft.com/office/excel/2006/main">
          <x14:cfRule type="dataBar" id="{1F9B0B3D-4017-402D-939C-B0FC4B53587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I101</xm:sqref>
        </x14:conditionalFormatting>
        <x14:conditionalFormatting xmlns:xm="http://schemas.microsoft.com/office/excel/2006/main">
          <x14:cfRule type="dataBar" id="{37BA6A08-009A-4576-A5A7-25C7103C7FF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I102</xm:sqref>
        </x14:conditionalFormatting>
        <x14:conditionalFormatting xmlns:xm="http://schemas.microsoft.com/office/excel/2006/main">
          <x14:cfRule type="dataBar" id="{C47919CA-1D92-49E3-B883-35DCA0F41E5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I103</xm:sqref>
        </x14:conditionalFormatting>
        <x14:conditionalFormatting xmlns:xm="http://schemas.microsoft.com/office/excel/2006/main">
          <x14:cfRule type="dataBar" id="{C0BF4A2F-20F3-4352-93A6-260E4CD7A2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I104</xm:sqref>
        </x14:conditionalFormatting>
        <x14:conditionalFormatting xmlns:xm="http://schemas.microsoft.com/office/excel/2006/main">
          <x14:cfRule type="dataBar" id="{CCB64326-04C8-4FF5-8E77-9B8683F457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I105</xm:sqref>
        </x14:conditionalFormatting>
        <x14:conditionalFormatting xmlns:xm="http://schemas.microsoft.com/office/excel/2006/main">
          <x14:cfRule type="dataBar" id="{D47276DB-529F-4712-A2B4-98702F8F5E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I106</xm:sqref>
        </x14:conditionalFormatting>
        <x14:conditionalFormatting xmlns:xm="http://schemas.microsoft.com/office/excel/2006/main">
          <x14:cfRule type="dataBar" id="{9D2F311F-8AA7-451C-990C-D5E23081164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I107</xm:sqref>
        </x14:conditionalFormatting>
        <x14:conditionalFormatting xmlns:xm="http://schemas.microsoft.com/office/excel/2006/main">
          <x14:cfRule type="dataBar" id="{2C40B48D-1F01-4DB5-BEF6-1904B10E217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9C925A09-2CEE-4D53-AB3F-7D6A59FBD6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C8018A95-09A4-4BF1-9ACE-2A1BDF2FEE5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I110</xm:sqref>
        </x14:conditionalFormatting>
        <x14:conditionalFormatting xmlns:xm="http://schemas.microsoft.com/office/excel/2006/main">
          <x14:cfRule type="dataBar" id="{72CD5101-53B4-43FE-AA0A-C8AE1E0C8A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I111</xm:sqref>
        </x14:conditionalFormatting>
        <x14:conditionalFormatting xmlns:xm="http://schemas.microsoft.com/office/excel/2006/main">
          <x14:cfRule type="dataBar" id="{DC4727B4-F830-422C-BA8E-6867CE5F05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I112</xm:sqref>
        </x14:conditionalFormatting>
        <x14:conditionalFormatting xmlns:xm="http://schemas.microsoft.com/office/excel/2006/main">
          <x14:cfRule type="dataBar" id="{6C105E5B-5109-49B8-8283-BF8AEF296C0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I113</xm:sqref>
        </x14:conditionalFormatting>
        <x14:conditionalFormatting xmlns:xm="http://schemas.microsoft.com/office/excel/2006/main">
          <x14:cfRule type="dataBar" id="{5276E08F-86C5-4252-BEAC-F6D451B65E0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I114</xm:sqref>
        </x14:conditionalFormatting>
        <x14:conditionalFormatting xmlns:xm="http://schemas.microsoft.com/office/excel/2006/main">
          <x14:cfRule type="dataBar" id="{82B39D0B-2CF7-46B2-9570-88ABA47A70D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9CAFCBF5-1BC7-4A83-8FF9-8A0577E0F34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I116</xm:sqref>
        </x14:conditionalFormatting>
        <x14:conditionalFormatting xmlns:xm="http://schemas.microsoft.com/office/excel/2006/main">
          <x14:cfRule type="dataBar" id="{27D4A728-79FB-4E05-A6E3-E91F1B10A91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I117</xm:sqref>
        </x14:conditionalFormatting>
        <x14:conditionalFormatting xmlns:xm="http://schemas.microsoft.com/office/excel/2006/main">
          <x14:cfRule type="dataBar" id="{25CED8C1-7AA5-4874-8BDA-B16C243FEF2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I118</xm:sqref>
        </x14:conditionalFormatting>
        <x14:conditionalFormatting xmlns:xm="http://schemas.microsoft.com/office/excel/2006/main">
          <x14:cfRule type="dataBar" id="{DAE694CE-DCD8-4FF3-9B32-3CDCE7281E6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6CD3BF27-7FC0-46CA-968B-832110A5E4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I120</xm:sqref>
        </x14:conditionalFormatting>
        <x14:conditionalFormatting xmlns:xm="http://schemas.microsoft.com/office/excel/2006/main">
          <x14:cfRule type="dataBar" id="{F9E0511C-75DF-4133-AA36-D3FC8950C0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I121</xm:sqref>
        </x14:conditionalFormatting>
        <x14:conditionalFormatting xmlns:xm="http://schemas.microsoft.com/office/excel/2006/main">
          <x14:cfRule type="dataBar" id="{BE031DEC-BCC4-4F9E-978F-FD5FCD7A2DA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I122</xm:sqref>
        </x14:conditionalFormatting>
        <x14:conditionalFormatting xmlns:xm="http://schemas.microsoft.com/office/excel/2006/main">
          <x14:cfRule type="dataBar" id="{FDCA8E0D-9A6E-4D74-8024-A5F9AEE944B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I123</xm:sqref>
        </x14:conditionalFormatting>
        <x14:conditionalFormatting xmlns:xm="http://schemas.microsoft.com/office/excel/2006/main">
          <x14:cfRule type="dataBar" id="{B46F2882-1655-46DB-B282-539FD6BE00E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I124</xm:sqref>
        </x14:conditionalFormatting>
        <x14:conditionalFormatting xmlns:xm="http://schemas.microsoft.com/office/excel/2006/main">
          <x14:cfRule type="dataBar" id="{C343F7BA-9F36-4E18-A981-55217A2182D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I125</xm:sqref>
        </x14:conditionalFormatting>
        <x14:conditionalFormatting xmlns:xm="http://schemas.microsoft.com/office/excel/2006/main">
          <x14:cfRule type="dataBar" id="{2B7F1C61-4A03-47E8-8733-3B6B130D52F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I126</xm:sqref>
        </x14:conditionalFormatting>
        <x14:conditionalFormatting xmlns:xm="http://schemas.microsoft.com/office/excel/2006/main">
          <x14:cfRule type="dataBar" id="{7B472F41-9562-4278-83D7-EC3A7379F3B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I127</xm:sqref>
        </x14:conditionalFormatting>
        <x14:conditionalFormatting xmlns:xm="http://schemas.microsoft.com/office/excel/2006/main">
          <x14:cfRule type="dataBar" id="{1E643D5C-4C1F-41C9-BE0C-3091FF6D709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I128</xm:sqref>
        </x14:conditionalFormatting>
        <x14:conditionalFormatting xmlns:xm="http://schemas.microsoft.com/office/excel/2006/main">
          <x14:cfRule type="dataBar" id="{F10BCD59-AEBF-413B-848D-017505C9C42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I129</xm:sqref>
        </x14:conditionalFormatting>
        <x14:conditionalFormatting xmlns:xm="http://schemas.microsoft.com/office/excel/2006/main">
          <x14:cfRule type="dataBar" id="{FF84A2F8-BA57-4295-B301-07E6E98595D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71832D48-79D2-4C0E-AD16-9D0FD3D81D6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I131</xm:sqref>
        </x14:conditionalFormatting>
        <x14:conditionalFormatting xmlns:xm="http://schemas.microsoft.com/office/excel/2006/main">
          <x14:cfRule type="dataBar" id="{D87EA379-23F1-428D-A828-63C0FE8D080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I132</xm:sqref>
        </x14:conditionalFormatting>
        <x14:conditionalFormatting xmlns:xm="http://schemas.microsoft.com/office/excel/2006/main">
          <x14:cfRule type="dataBar" id="{F367D4B2-7CE2-42C6-96A6-A15BAEA61B7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I133</xm:sqref>
        </x14:conditionalFormatting>
        <x14:conditionalFormatting xmlns:xm="http://schemas.microsoft.com/office/excel/2006/main">
          <x14:cfRule type="dataBar" id="{65DEBB78-59EF-4351-88E1-F28B44AC161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I134</xm:sqref>
        </x14:conditionalFormatting>
        <x14:conditionalFormatting xmlns:xm="http://schemas.microsoft.com/office/excel/2006/main">
          <x14:cfRule type="dataBar" id="{EE163997-3CDE-4787-A259-5FF479FB41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I135</xm:sqref>
        </x14:conditionalFormatting>
        <x14:conditionalFormatting xmlns:xm="http://schemas.microsoft.com/office/excel/2006/main">
          <x14:cfRule type="dataBar" id="{660E6FAA-461F-49A5-9A61-97B17130653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I136</xm:sqref>
        </x14:conditionalFormatting>
        <x14:conditionalFormatting xmlns:xm="http://schemas.microsoft.com/office/excel/2006/main">
          <x14:cfRule type="dataBar" id="{C03DFE96-BE93-4A68-A7B2-B61B50527AD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SWE 산출물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WOORY</cp:lastModifiedBy>
  <dcterms:created xsi:type="dcterms:W3CDTF">2025-07-16T00:27:56Z</dcterms:created>
  <dcterms:modified xsi:type="dcterms:W3CDTF">2025-08-13T05:59:43Z</dcterms:modified>
</cp:coreProperties>
</file>