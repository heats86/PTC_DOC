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work\일정\ptc_heater_doc\2. 스펙\"/>
    </mc:Choice>
  </mc:AlternateContent>
  <bookViews>
    <workbookView xWindow="0" yWindow="0" windowWidth="28800" windowHeight="11760" activeTab="1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5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5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7" i="3"/>
  <c r="P8" i="3"/>
  <c r="P9" i="3"/>
  <c r="P10" i="3"/>
  <c r="P11" i="3"/>
  <c r="P5" i="3"/>
  <c r="P6" i="3"/>
  <c r="Q4" i="3"/>
  <c r="D15" i="3" l="1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7" i="3"/>
  <c r="D8" i="3"/>
  <c r="D9" i="3"/>
  <c r="D10" i="3"/>
  <c r="D11" i="3"/>
  <c r="D12" i="3"/>
  <c r="D13" i="3"/>
  <c r="D14" i="3"/>
  <c r="D5" i="3"/>
  <c r="D6" i="3"/>
  <c r="D4" i="3"/>
  <c r="C15" i="3" l="1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9" i="3"/>
  <c r="C10" i="3"/>
  <c r="C11" i="3"/>
  <c r="C12" i="3"/>
  <c r="C13" i="3"/>
  <c r="C14" i="3"/>
  <c r="C8" i="3"/>
  <c r="C7" i="3"/>
  <c r="Q6" i="3" l="1"/>
  <c r="P4" i="3"/>
  <c r="H166" i="3" l="1"/>
  <c r="H167" i="3" s="1"/>
  <c r="H168" i="3" s="1"/>
  <c r="H169" i="3" s="1"/>
  <c r="H170" i="3" s="1"/>
  <c r="G170" i="3"/>
  <c r="G169" i="3"/>
  <c r="G168" i="3"/>
  <c r="G167" i="3"/>
  <c r="G166" i="3"/>
  <c r="G6" i="3"/>
  <c r="H6" i="3" s="1"/>
  <c r="G4" i="3"/>
  <c r="H4" i="3" s="1"/>
  <c r="K169" i="3" l="1"/>
  <c r="K168" i="3"/>
  <c r="K167" i="3"/>
  <c r="K166" i="3"/>
  <c r="K165" i="3"/>
  <c r="K164" i="3"/>
  <c r="M164" i="3" s="1"/>
  <c r="K162" i="3"/>
  <c r="M162" i="3" s="1"/>
  <c r="K160" i="3"/>
  <c r="M160" i="3" s="1"/>
  <c r="K158" i="3"/>
  <c r="M158" i="3" s="1"/>
  <c r="K156" i="3"/>
  <c r="M156" i="3" s="1"/>
  <c r="K154" i="3"/>
  <c r="M154" i="3" s="1"/>
  <c r="K152" i="3"/>
  <c r="M152" i="3" s="1"/>
  <c r="K150" i="3"/>
  <c r="M150" i="3" s="1"/>
  <c r="K148" i="3"/>
  <c r="K146" i="3"/>
  <c r="M146" i="3" s="1"/>
  <c r="K144" i="3"/>
  <c r="M144" i="3" s="1"/>
  <c r="K142" i="3"/>
  <c r="L142" i="3" s="1"/>
  <c r="K140" i="3"/>
  <c r="L140" i="3" s="1"/>
  <c r="K138" i="3"/>
  <c r="K136" i="3"/>
  <c r="M136" i="3" s="1"/>
  <c r="K134" i="3"/>
  <c r="K132" i="3"/>
  <c r="K130" i="3"/>
  <c r="M130" i="3" s="1"/>
  <c r="K128" i="3"/>
  <c r="M128" i="3" s="1"/>
  <c r="K126" i="3"/>
  <c r="K124" i="3"/>
  <c r="K122" i="3"/>
  <c r="K120" i="3"/>
  <c r="M120" i="3" s="1"/>
  <c r="K118" i="3"/>
  <c r="M118" i="3" s="1"/>
  <c r="K116" i="3"/>
  <c r="K114" i="3"/>
  <c r="M114" i="3" s="1"/>
  <c r="K112" i="3"/>
  <c r="M112" i="3" s="1"/>
  <c r="K110" i="3"/>
  <c r="K108" i="3"/>
  <c r="L108" i="3" s="1"/>
  <c r="K106" i="3"/>
  <c r="M106" i="3" s="1"/>
  <c r="K104" i="3"/>
  <c r="M104" i="3" s="1"/>
  <c r="K102" i="3"/>
  <c r="M102" i="3" s="1"/>
  <c r="K100" i="3"/>
  <c r="K98" i="3"/>
  <c r="M98" i="3" s="1"/>
  <c r="K96" i="3"/>
  <c r="M96" i="3" s="1"/>
  <c r="K94" i="3"/>
  <c r="M94" i="3" s="1"/>
  <c r="K92" i="3"/>
  <c r="L92" i="3" s="1"/>
  <c r="K90" i="3"/>
  <c r="M90" i="3" s="1"/>
  <c r="K88" i="3"/>
  <c r="K86" i="3"/>
  <c r="K84" i="3"/>
  <c r="K82" i="3"/>
  <c r="M82" i="3" s="1"/>
  <c r="K80" i="3"/>
  <c r="M80" i="3" s="1"/>
  <c r="K78" i="3"/>
  <c r="L78" i="3" s="1"/>
  <c r="K76" i="3"/>
  <c r="K74" i="3"/>
  <c r="M74" i="3" s="1"/>
  <c r="K72" i="3"/>
  <c r="K70" i="3"/>
  <c r="K68" i="3"/>
  <c r="K66" i="3"/>
  <c r="M66" i="3" s="1"/>
  <c r="K64" i="3"/>
  <c r="M64" i="3" s="1"/>
  <c r="K62" i="3"/>
  <c r="M62" i="3" s="1"/>
  <c r="K60" i="3"/>
  <c r="M60" i="3" s="1"/>
  <c r="K58" i="3"/>
  <c r="M58" i="3" s="1"/>
  <c r="K56" i="3"/>
  <c r="K54" i="3"/>
  <c r="K52" i="3"/>
  <c r="K50" i="3"/>
  <c r="M50" i="3" s="1"/>
  <c r="K48" i="3"/>
  <c r="M48" i="3" s="1"/>
  <c r="K46" i="3"/>
  <c r="L46" i="3" s="1"/>
  <c r="K44" i="3"/>
  <c r="K42" i="3"/>
  <c r="K40" i="3"/>
  <c r="K38" i="3"/>
  <c r="M38" i="3" s="1"/>
  <c r="K36" i="3"/>
  <c r="K34" i="3"/>
  <c r="M34" i="3" s="1"/>
  <c r="K32" i="3"/>
  <c r="M32" i="3" s="1"/>
  <c r="K30" i="3"/>
  <c r="M30" i="3" s="1"/>
  <c r="K28" i="3"/>
  <c r="M28" i="3" s="1"/>
  <c r="K26" i="3"/>
  <c r="M26" i="3" s="1"/>
  <c r="K24" i="3"/>
  <c r="M24" i="3" s="1"/>
  <c r="K22" i="3"/>
  <c r="M22" i="3" s="1"/>
  <c r="K20" i="3"/>
  <c r="K18" i="3"/>
  <c r="M18" i="3" s="1"/>
  <c r="K16" i="3"/>
  <c r="M16" i="3" s="1"/>
  <c r="K14" i="3"/>
  <c r="K12" i="3"/>
  <c r="K10" i="3"/>
  <c r="M10" i="3" s="1"/>
  <c r="K8" i="3"/>
  <c r="M8" i="3" s="1"/>
  <c r="K6" i="3"/>
  <c r="M6" i="3" s="1"/>
  <c r="K4" i="3"/>
  <c r="L4" i="3" s="1"/>
  <c r="L80" i="3" l="1"/>
  <c r="M142" i="3"/>
  <c r="M108" i="3"/>
  <c r="L156" i="3"/>
  <c r="L32" i="3"/>
  <c r="L60" i="3"/>
  <c r="M46" i="3"/>
  <c r="M12" i="3"/>
  <c r="L96" i="3"/>
  <c r="L158" i="3"/>
  <c r="M86" i="3"/>
  <c r="M14" i="3"/>
  <c r="L160" i="3"/>
  <c r="M134" i="3"/>
  <c r="L124" i="3"/>
  <c r="M88" i="3"/>
  <c r="L112" i="3"/>
  <c r="L64" i="3"/>
  <c r="M54" i="3"/>
  <c r="M126" i="3"/>
  <c r="M44" i="3"/>
  <c r="M56" i="3"/>
  <c r="L128" i="3"/>
  <c r="L12" i="3"/>
  <c r="L62" i="3"/>
  <c r="M110" i="3"/>
  <c r="M124" i="3"/>
  <c r="M40" i="3"/>
  <c r="M78" i="3"/>
  <c r="M140" i="3"/>
  <c r="L44" i="3"/>
  <c r="M92" i="3"/>
  <c r="M72" i="3"/>
  <c r="L144" i="3"/>
  <c r="L48" i="3"/>
  <c r="L110" i="3"/>
  <c r="L28" i="3"/>
  <c r="M76" i="3"/>
  <c r="L16" i="3"/>
  <c r="L30" i="3"/>
  <c r="M70" i="3"/>
  <c r="L94" i="3"/>
  <c r="L14" i="3"/>
  <c r="L76" i="3"/>
  <c r="L126" i="3"/>
  <c r="L18" i="3"/>
  <c r="L34" i="3"/>
  <c r="L50" i="3"/>
  <c r="L66" i="3"/>
  <c r="L82" i="3"/>
  <c r="L98" i="3"/>
  <c r="L114" i="3"/>
  <c r="L130" i="3"/>
  <c r="L146" i="3"/>
  <c r="L162" i="3"/>
  <c r="L8" i="3"/>
  <c r="L24" i="3"/>
  <c r="L40" i="3"/>
  <c r="L56" i="3"/>
  <c r="L72" i="3"/>
  <c r="L88" i="3"/>
  <c r="L104" i="3"/>
  <c r="L120" i="3"/>
  <c r="L136" i="3"/>
  <c r="L152" i="3"/>
  <c r="L68" i="3"/>
  <c r="L84" i="3"/>
  <c r="L116" i="3"/>
  <c r="L132" i="3"/>
  <c r="L148" i="3"/>
  <c r="L164" i="3"/>
  <c r="L10" i="3"/>
  <c r="L26" i="3"/>
  <c r="L42" i="3"/>
  <c r="L58" i="3"/>
  <c r="L74" i="3"/>
  <c r="L90" i="3"/>
  <c r="L106" i="3"/>
  <c r="L122" i="3"/>
  <c r="L138" i="3"/>
  <c r="L154" i="3"/>
  <c r="M4" i="3"/>
  <c r="M20" i="3"/>
  <c r="M36" i="3"/>
  <c r="M52" i="3"/>
  <c r="M68" i="3"/>
  <c r="M84" i="3"/>
  <c r="M100" i="3"/>
  <c r="M116" i="3"/>
  <c r="M132" i="3"/>
  <c r="M148" i="3"/>
  <c r="L20" i="3"/>
  <c r="M42" i="3"/>
  <c r="M122" i="3"/>
  <c r="M138" i="3"/>
  <c r="L6" i="3"/>
  <c r="L22" i="3"/>
  <c r="L38" i="3"/>
  <c r="L54" i="3"/>
  <c r="L70" i="3"/>
  <c r="L86" i="3"/>
  <c r="L102" i="3"/>
  <c r="L118" i="3"/>
  <c r="L134" i="3"/>
  <c r="L150" i="3"/>
  <c r="L36" i="3"/>
  <c r="L52" i="3"/>
  <c r="L100" i="3"/>
  <c r="C170" i="3" l="1"/>
  <c r="C169" i="3"/>
  <c r="C168" i="3"/>
  <c r="C167" i="3"/>
  <c r="C166" i="3"/>
  <c r="C164" i="3"/>
  <c r="C6" i="3"/>
  <c r="C4" i="3"/>
</calcChain>
</file>

<file path=xl/sharedStrings.xml><?xml version="1.0" encoding="utf-8"?>
<sst xmlns="http://schemas.openxmlformats.org/spreadsheetml/2006/main" count="128" uniqueCount="108">
  <si>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</si>
  <si>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</si>
  <si>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</si>
  <si>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</si>
  <si>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</si>
  <si>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</si>
  <si>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</si>
  <si>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</si>
  <si>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</si>
  <si>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6.0kW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</si>
  <si>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</si>
  <si>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</si>
  <si>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</si>
  <si>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</si>
  <si>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</si>
  <si>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</si>
  <si>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</si>
  <si>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</si>
  <si>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V01.01</t>
    <phoneticPr fontId="1" type="noConversion"/>
  </si>
  <si>
    <t>V01.00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</si>
  <si>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</si>
  <si>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</si>
  <si>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</si>
  <si>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</si>
  <si>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</si>
  <si>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</si>
  <si>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</si>
  <si>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</si>
  <si>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</si>
  <si>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</si>
  <si>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</si>
  <si>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</si>
  <si>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</si>
  <si>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</si>
  <si>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</si>
  <si>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</si>
  <si>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</si>
  <si>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</si>
  <si>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</si>
  <si>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</si>
  <si>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</si>
  <si>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</si>
  <si>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EA1c(미공개)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</si>
  <si>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</si>
  <si>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</si>
  <si>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</si>
  <si>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</si>
  <si>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</si>
  <si>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</si>
  <si>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</si>
  <si>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</si>
  <si>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</si>
  <si>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</si>
  <si>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</si>
  <si>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</si>
  <si>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</si>
  <si>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</si>
  <si>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</si>
  <si>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</si>
  <si>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</si>
  <si>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</si>
  <si>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</si>
  <si>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</si>
  <si>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</si>
  <si>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</si>
  <si>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</si>
  <si>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</si>
  <si>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한온시스템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</si>
  <si>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</si>
  <si>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</si>
  <si>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</si>
  <si>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</si>
  <si>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</si>
  <si>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</si>
  <si>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</si>
  <si>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</si>
  <si>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</si>
  <si>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</si>
  <si>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</si>
  <si>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</si>
  <si>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</si>
  <si>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</si>
  <si>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</si>
  <si>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</si>
  <si>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</si>
  <si>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</si>
  <si>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</si>
  <si>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</si>
  <si>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</si>
  <si>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</si>
  <si>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</si>
  <si>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</si>
  <si>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</si>
  <si>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</si>
  <si>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</si>
  <si>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</si>
  <si>
    <t>HE1i 기본</t>
    <phoneticPr fontId="1" type="noConversion"/>
  </si>
  <si>
    <t>HE1i 항속</t>
    <phoneticPr fontId="1" type="noConversion"/>
  </si>
  <si>
    <t>V01.00.00</t>
    <phoneticPr fontId="1" type="noConversion"/>
  </si>
  <si>
    <t>25.10.16</t>
    <phoneticPr fontId="1" type="noConversion"/>
  </si>
  <si>
    <t>V01.03</t>
    <phoneticPr fontId="1" type="noConversion"/>
  </si>
  <si>
    <t>HE1i 기본, 항속 추가 &amp; BJ1 기본, 항속 정격 전압 업데이트</t>
    <phoneticPr fontId="1" type="noConversion"/>
  </si>
  <si>
    <t>임제훈</t>
    <phoneticPr fontId="1" type="noConversion"/>
  </si>
  <si>
    <t>V01.03</t>
    <phoneticPr fontId="1" type="noConversion"/>
  </si>
  <si>
    <t>25.10.16</t>
    <phoneticPr fontId="1" type="noConversion"/>
  </si>
  <si>
    <t>V01.01</t>
    <phoneticPr fontId="1" type="noConversion"/>
  </si>
  <si>
    <t>V01.02</t>
    <phoneticPr fontId="1" type="noConversion"/>
  </si>
  <si>
    <t>V01.03.01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</si>
</sst>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20" xfId="0" applyNumberFormat="1" applyBorder="1" applyAlignment="1">
      <alignment horizontal="center" vertical="center"/>
    </xf>
    <xf numFmtId="177" fontId="0" fillId="0" borderId="2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view="pageBreakPreview" zoomScaleSheetLayoutView="100" workbookViewId="0">
      <selection activeCell="A9" sqref="A9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44" t="s">
        <v>61</v>
      </c>
      <c r="B2" s="44"/>
      <c r="C2" s="44"/>
      <c r="D2" s="44"/>
      <c r="E2" s="44"/>
      <c r="F2" s="44"/>
      <c r="G2" s="44"/>
      <c r="H2" s="44"/>
      <c r="I2" s="44"/>
    </row>
    <row r="3" spans="1:9" ht="24.95" customHeight="1" x14ac:dyDescent="0.3">
      <c r="A3" s="44" t="s">
        <v>51</v>
      </c>
      <c r="B3" s="44"/>
      <c r="C3" s="44"/>
      <c r="D3" s="14" t="s">
        <v>103</v>
      </c>
      <c r="E3" s="14" t="s">
        <v>52</v>
      </c>
      <c r="F3" s="44" t="s">
        <v>104</v>
      </c>
      <c r="G3" s="44"/>
      <c r="H3" s="44"/>
      <c r="I3" s="44"/>
    </row>
    <row r="4" spans="1:9" ht="24.95" customHeight="1" x14ac:dyDescent="0.3">
      <c r="A4" s="15" t="s">
        <v>53</v>
      </c>
      <c r="B4" s="16" t="s">
        <v>54</v>
      </c>
      <c r="C4" s="45" t="s">
        <v>55</v>
      </c>
      <c r="D4" s="46"/>
      <c r="E4" s="47"/>
      <c r="F4" s="48" t="s">
        <v>56</v>
      </c>
      <c r="G4" s="49"/>
      <c r="H4" s="49"/>
      <c r="I4" s="50"/>
    </row>
    <row r="5" spans="1:9" ht="33.75" customHeight="1" x14ac:dyDescent="0.3">
      <c r="A5" s="17" t="s">
        <v>57</v>
      </c>
      <c r="B5" s="18" t="s">
        <v>58</v>
      </c>
      <c r="C5" s="38" t="s">
        <v>60</v>
      </c>
      <c r="D5" s="39"/>
      <c r="E5" s="40"/>
      <c r="F5" s="41" t="s">
        <v>59</v>
      </c>
      <c r="G5" s="42"/>
      <c r="H5" s="42"/>
      <c r="I5" s="43"/>
    </row>
    <row r="6" spans="1:9" ht="33.75" customHeight="1" x14ac:dyDescent="0.3">
      <c r="A6" s="17" t="s">
        <v>75</v>
      </c>
      <c r="B6" s="18" t="s">
        <v>65</v>
      </c>
      <c r="C6" s="38" t="s">
        <v>74</v>
      </c>
      <c r="D6" s="39"/>
      <c r="E6" s="40"/>
      <c r="F6" s="41" t="s">
        <v>66</v>
      </c>
      <c r="G6" s="42"/>
      <c r="H6" s="42"/>
      <c r="I6" s="43"/>
    </row>
    <row r="7" spans="1:9" ht="33.75" customHeight="1" x14ac:dyDescent="0.3">
      <c r="A7" s="17" t="s">
        <v>92</v>
      </c>
      <c r="B7" s="18" t="s">
        <v>93</v>
      </c>
      <c r="C7" s="38" t="s">
        <v>94</v>
      </c>
      <c r="D7" s="39"/>
      <c r="E7" s="40"/>
      <c r="F7" s="41" t="s">
        <v>95</v>
      </c>
      <c r="G7" s="42"/>
      <c r="H7" s="42"/>
      <c r="I7" s="43"/>
    </row>
    <row r="8" spans="1:9" ht="33.75" customHeight="1" x14ac:dyDescent="0.3">
      <c r="A8" s="17" t="s">
        <v>99</v>
      </c>
      <c r="B8" s="18" t="s">
        <v>100</v>
      </c>
      <c r="C8" s="38" t="s">
        <v>101</v>
      </c>
      <c r="D8" s="39"/>
      <c r="E8" s="40"/>
      <c r="F8" s="41" t="s">
        <v>102</v>
      </c>
      <c r="G8" s="42"/>
      <c r="H8" s="42"/>
      <c r="I8" s="43"/>
    </row>
    <row r="9" spans="1:9" ht="33.75" customHeight="1" x14ac:dyDescent="0.3">
      <c r="A9" s="17"/>
      <c r="B9" s="18"/>
      <c r="C9" s="38"/>
      <c r="D9" s="39"/>
      <c r="E9" s="40"/>
      <c r="F9" s="41"/>
      <c r="G9" s="42"/>
      <c r="H9" s="42"/>
      <c r="I9" s="43"/>
    </row>
    <row r="10" spans="1:9" ht="33.75" customHeight="1" x14ac:dyDescent="0.3">
      <c r="A10" s="17"/>
      <c r="B10" s="18"/>
      <c r="C10" s="38"/>
      <c r="D10" s="39"/>
      <c r="E10" s="40"/>
      <c r="F10" s="41"/>
      <c r="G10" s="42"/>
      <c r="H10" s="42"/>
      <c r="I10" s="43"/>
    </row>
    <row r="11" spans="1:9" ht="33.75" customHeight="1" x14ac:dyDescent="0.3">
      <c r="A11" s="17"/>
      <c r="B11" s="18"/>
      <c r="C11" s="38"/>
      <c r="D11" s="39"/>
      <c r="E11" s="40"/>
      <c r="F11" s="41"/>
      <c r="G11" s="42"/>
      <c r="H11" s="42"/>
      <c r="I11" s="43"/>
    </row>
    <row r="12" spans="1:9" ht="33.75" customHeight="1" x14ac:dyDescent="0.3">
      <c r="A12" s="17"/>
      <c r="B12" s="18"/>
      <c r="C12" s="38"/>
      <c r="D12" s="39"/>
      <c r="E12" s="40"/>
      <c r="F12" s="41"/>
      <c r="G12" s="42"/>
      <c r="H12" s="42"/>
      <c r="I12" s="43"/>
    </row>
    <row r="13" spans="1:9" ht="33.75" customHeight="1" x14ac:dyDescent="0.3">
      <c r="A13" s="17"/>
      <c r="B13" s="18"/>
      <c r="C13" s="38"/>
      <c r="D13" s="39"/>
      <c r="E13" s="40"/>
      <c r="F13" s="41"/>
      <c r="G13" s="42"/>
      <c r="H13" s="42"/>
      <c r="I13" s="43"/>
    </row>
    <row r="14" spans="1:9" ht="33.75" customHeight="1" x14ac:dyDescent="0.3">
      <c r="A14" s="17"/>
      <c r="B14" s="18"/>
      <c r="C14" s="38"/>
      <c r="D14" s="39"/>
      <c r="E14" s="40"/>
      <c r="F14" s="41"/>
      <c r="G14" s="42"/>
      <c r="H14" s="42"/>
      <c r="I14" s="43"/>
    </row>
    <row r="15" spans="1:9" ht="33.75" customHeight="1" x14ac:dyDescent="0.3">
      <c r="A15" s="17"/>
      <c r="B15" s="18"/>
      <c r="C15" s="38"/>
      <c r="D15" s="39"/>
      <c r="E15" s="40"/>
      <c r="F15" s="41"/>
      <c r="G15" s="42"/>
      <c r="H15" s="42"/>
      <c r="I15" s="43"/>
    </row>
    <row r="16" spans="1:9" ht="33.75" customHeight="1" x14ac:dyDescent="0.3">
      <c r="A16" s="17"/>
      <c r="B16" s="18"/>
      <c r="C16" s="38"/>
      <c r="D16" s="39"/>
      <c r="E16" s="40"/>
      <c r="F16" s="41"/>
      <c r="G16" s="42"/>
      <c r="H16" s="42"/>
      <c r="I16" s="43"/>
    </row>
    <row r="17" spans="1:9" ht="33.75" customHeight="1" x14ac:dyDescent="0.3">
      <c r="A17" s="17"/>
      <c r="B17" s="18"/>
      <c r="C17" s="38"/>
      <c r="D17" s="39"/>
      <c r="E17" s="40"/>
      <c r="F17" s="41"/>
      <c r="G17" s="42"/>
      <c r="H17" s="42"/>
      <c r="I17" s="43"/>
    </row>
    <row r="18" spans="1:9" ht="33.75" customHeight="1" x14ac:dyDescent="0.3">
      <c r="A18" s="17"/>
      <c r="B18" s="18"/>
      <c r="C18" s="38"/>
      <c r="D18" s="39"/>
      <c r="E18" s="40"/>
      <c r="F18" s="41"/>
      <c r="G18" s="42"/>
      <c r="H18" s="42"/>
      <c r="I18" s="43"/>
    </row>
    <row r="19" spans="1:9" ht="33.75" customHeight="1" x14ac:dyDescent="0.3">
      <c r="A19" s="17"/>
      <c r="B19" s="18"/>
      <c r="C19" s="38"/>
      <c r="D19" s="39"/>
      <c r="E19" s="40"/>
      <c r="F19" s="41"/>
      <c r="G19" s="42"/>
      <c r="H19" s="42"/>
      <c r="I19" s="43"/>
    </row>
    <row r="20" spans="1:9" ht="33.75" customHeight="1" x14ac:dyDescent="0.3">
      <c r="A20" s="17"/>
      <c r="B20" s="18"/>
      <c r="C20" s="38"/>
      <c r="D20" s="39"/>
      <c r="E20" s="40"/>
      <c r="F20" s="41"/>
      <c r="G20" s="42"/>
      <c r="H20" s="42"/>
      <c r="I20" s="43"/>
    </row>
    <row r="21" spans="1:9" ht="33.75" customHeight="1" x14ac:dyDescent="0.3">
      <c r="A21" s="17"/>
      <c r="B21" s="18"/>
      <c r="C21" s="38"/>
      <c r="D21" s="39"/>
      <c r="E21" s="40"/>
      <c r="F21" s="41"/>
      <c r="G21" s="42"/>
      <c r="H21" s="42"/>
      <c r="I21" s="43"/>
    </row>
  </sheetData>
  <mergeCells count="39">
    <mergeCell ref="C21:E21"/>
    <mergeCell ref="F21:I21"/>
    <mergeCell ref="C18:E18"/>
    <mergeCell ref="F18:I18"/>
    <mergeCell ref="C19:E19"/>
    <mergeCell ref="F19:I19"/>
    <mergeCell ref="C20:E20"/>
    <mergeCell ref="F20:I20"/>
    <mergeCell ref="C15:E15"/>
    <mergeCell ref="F15:I15"/>
    <mergeCell ref="C16:E16"/>
    <mergeCell ref="F16:I16"/>
    <mergeCell ref="C17:E17"/>
    <mergeCell ref="F17:I17"/>
    <mergeCell ref="C12:E12"/>
    <mergeCell ref="F12:I12"/>
    <mergeCell ref="C13:E13"/>
    <mergeCell ref="F13:I13"/>
    <mergeCell ref="C14:E14"/>
    <mergeCell ref="F14:I14"/>
    <mergeCell ref="C9:E9"/>
    <mergeCell ref="F9:I9"/>
    <mergeCell ref="C10:E10"/>
    <mergeCell ref="F10:I10"/>
    <mergeCell ref="C11:E11"/>
    <mergeCell ref="F11:I11"/>
    <mergeCell ref="C6:E6"/>
    <mergeCell ref="F6:I6"/>
    <mergeCell ref="C7:E7"/>
    <mergeCell ref="F7:I7"/>
    <mergeCell ref="C8:E8"/>
    <mergeCell ref="F8:I8"/>
    <mergeCell ref="C5:E5"/>
    <mergeCell ref="F5:I5"/>
    <mergeCell ref="A2:I2"/>
    <mergeCell ref="A3:C3"/>
    <mergeCell ref="F3:I3"/>
    <mergeCell ref="C4:E4"/>
    <mergeCell ref="F4:I4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4"/>
  <sheetViews>
    <sheetView tabSelected="1" workbookViewId="0">
      <selection activeCell="H17" sqref="H17:H18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43</v>
      </c>
      <c r="F2" s="20" t="s">
        <v>44</v>
      </c>
      <c r="G2" s="20" t="s">
        <v>45</v>
      </c>
      <c r="H2" s="20" t="s">
        <v>3</v>
      </c>
      <c r="I2" s="25" t="s">
        <v>12</v>
      </c>
    </row>
    <row r="3" spans="2:9" ht="20.25" customHeight="1" x14ac:dyDescent="0.3">
      <c r="B3" s="21" t="s">
        <v>26</v>
      </c>
      <c r="C3" s="22">
        <v>654</v>
      </c>
      <c r="D3" s="22">
        <v>248</v>
      </c>
      <c r="E3" s="22">
        <v>865.6</v>
      </c>
      <c r="F3" s="23" t="s">
        <v>8</v>
      </c>
      <c r="G3" s="60" t="s">
        <v>63</v>
      </c>
      <c r="H3" s="24" t="s">
        <v>10</v>
      </c>
      <c r="I3" s="9"/>
    </row>
    <row r="4" spans="2:9" ht="20.25" customHeight="1" x14ac:dyDescent="0.3">
      <c r="B4" s="3" t="s">
        <v>27</v>
      </c>
      <c r="C4" s="1">
        <v>654</v>
      </c>
      <c r="D4" s="1">
        <v>248</v>
      </c>
      <c r="E4" s="1">
        <v>865.6</v>
      </c>
      <c r="F4" s="2" t="s">
        <v>8</v>
      </c>
      <c r="G4" s="61"/>
      <c r="H4" s="7" t="s">
        <v>11</v>
      </c>
      <c r="I4" s="10" t="s">
        <v>22</v>
      </c>
    </row>
    <row r="5" spans="2:9" ht="20.25" customHeight="1" x14ac:dyDescent="0.3">
      <c r="B5" s="3" t="s">
        <v>28</v>
      </c>
      <c r="C5" s="1">
        <v>654</v>
      </c>
      <c r="D5" s="1">
        <v>248</v>
      </c>
      <c r="E5" s="1">
        <v>865.6</v>
      </c>
      <c r="F5" s="2" t="s">
        <v>7</v>
      </c>
      <c r="G5" s="61"/>
      <c r="H5" s="7" t="s">
        <v>13</v>
      </c>
      <c r="I5" s="10" t="s">
        <v>70</v>
      </c>
    </row>
    <row r="6" spans="2:9" ht="20.25" customHeight="1" x14ac:dyDescent="0.3">
      <c r="B6" s="3" t="s">
        <v>29</v>
      </c>
      <c r="C6" s="1">
        <v>654</v>
      </c>
      <c r="D6" s="1">
        <v>248</v>
      </c>
      <c r="E6" s="1">
        <v>865.6</v>
      </c>
      <c r="F6" s="2" t="s">
        <v>7</v>
      </c>
      <c r="G6" s="61"/>
      <c r="H6" s="7" t="s">
        <v>14</v>
      </c>
      <c r="I6" s="10" t="s">
        <v>21</v>
      </c>
    </row>
    <row r="7" spans="2:9" ht="20.25" customHeight="1" x14ac:dyDescent="0.3">
      <c r="B7" s="3" t="s">
        <v>30</v>
      </c>
      <c r="C7" s="1">
        <v>654</v>
      </c>
      <c r="D7" s="1">
        <v>248</v>
      </c>
      <c r="E7" s="1">
        <v>865.6</v>
      </c>
      <c r="F7" s="2" t="s">
        <v>8</v>
      </c>
      <c r="G7" s="61"/>
      <c r="H7" s="7" t="s">
        <v>15</v>
      </c>
      <c r="I7" s="10" t="s">
        <v>20</v>
      </c>
    </row>
    <row r="8" spans="2:9" ht="20.25" customHeight="1" x14ac:dyDescent="0.3">
      <c r="B8" s="3" t="s">
        <v>31</v>
      </c>
      <c r="C8" s="1">
        <v>654</v>
      </c>
      <c r="D8" s="1">
        <v>248</v>
      </c>
      <c r="E8" s="1">
        <v>865.6</v>
      </c>
      <c r="F8" s="2" t="s">
        <v>8</v>
      </c>
      <c r="G8" s="52" t="s">
        <v>62</v>
      </c>
      <c r="H8" s="7" t="s">
        <v>16</v>
      </c>
      <c r="I8" s="10" t="s">
        <v>71</v>
      </c>
    </row>
    <row r="9" spans="2:9" ht="20.25" customHeight="1" x14ac:dyDescent="0.3">
      <c r="B9" s="3" t="s">
        <v>32</v>
      </c>
      <c r="C9" s="1">
        <v>266</v>
      </c>
      <c r="D9" s="1">
        <v>180</v>
      </c>
      <c r="E9" s="1">
        <v>379</v>
      </c>
      <c r="F9" s="2" t="s">
        <v>7</v>
      </c>
      <c r="G9" s="53"/>
      <c r="H9" s="62" t="s">
        <v>17</v>
      </c>
      <c r="I9" s="57" t="s">
        <v>24</v>
      </c>
    </row>
    <row r="10" spans="2:9" ht="20.25" customHeight="1" x14ac:dyDescent="0.3">
      <c r="B10" s="3" t="s">
        <v>33</v>
      </c>
      <c r="C10" s="1">
        <v>325</v>
      </c>
      <c r="D10" s="1">
        <v>180</v>
      </c>
      <c r="E10" s="1">
        <v>379</v>
      </c>
      <c r="F10" s="2" t="s">
        <v>7</v>
      </c>
      <c r="G10" s="53"/>
      <c r="H10" s="62"/>
      <c r="I10" s="58"/>
    </row>
    <row r="11" spans="2:9" ht="20.25" customHeight="1" x14ac:dyDescent="0.3">
      <c r="B11" s="3" t="s">
        <v>34</v>
      </c>
      <c r="C11" s="1">
        <v>266</v>
      </c>
      <c r="D11" s="1">
        <v>180</v>
      </c>
      <c r="E11" s="1">
        <v>379</v>
      </c>
      <c r="F11" s="2" t="s">
        <v>7</v>
      </c>
      <c r="G11" s="53"/>
      <c r="H11" s="62"/>
      <c r="I11" s="58"/>
    </row>
    <row r="12" spans="2:9" ht="20.25" customHeight="1" x14ac:dyDescent="0.3">
      <c r="B12" s="3" t="s">
        <v>35</v>
      </c>
      <c r="C12" s="1">
        <v>266</v>
      </c>
      <c r="D12" s="1">
        <v>180</v>
      </c>
      <c r="E12" s="1">
        <v>379</v>
      </c>
      <c r="F12" s="2" t="s">
        <v>7</v>
      </c>
      <c r="G12" s="53"/>
      <c r="H12" s="62"/>
      <c r="I12" s="58"/>
    </row>
    <row r="13" spans="2:9" ht="20.25" customHeight="1" x14ac:dyDescent="0.3">
      <c r="B13" s="3" t="s">
        <v>96</v>
      </c>
      <c r="C13" s="1">
        <v>271</v>
      </c>
      <c r="D13" s="1">
        <v>168</v>
      </c>
      <c r="E13" s="1">
        <v>445</v>
      </c>
      <c r="F13" s="37" t="s">
        <v>7</v>
      </c>
      <c r="G13" s="53"/>
      <c r="H13" s="55" t="s">
        <v>98</v>
      </c>
      <c r="I13" s="58"/>
    </row>
    <row r="14" spans="2:9" ht="20.25" customHeight="1" x14ac:dyDescent="0.3">
      <c r="B14" s="3" t="s">
        <v>97</v>
      </c>
      <c r="C14" s="1">
        <v>377</v>
      </c>
      <c r="D14" s="1">
        <v>168</v>
      </c>
      <c r="E14" s="1">
        <v>445</v>
      </c>
      <c r="F14" s="37" t="s">
        <v>7</v>
      </c>
      <c r="G14" s="54"/>
      <c r="H14" s="56"/>
      <c r="I14" s="59"/>
    </row>
    <row r="15" spans="2:9" ht="20.25" customHeight="1" x14ac:dyDescent="0.3">
      <c r="B15" s="3" t="s">
        <v>36</v>
      </c>
      <c r="C15" s="1">
        <v>358</v>
      </c>
      <c r="D15" s="1">
        <v>150</v>
      </c>
      <c r="E15" s="1">
        <v>432</v>
      </c>
      <c r="F15" s="2" t="s">
        <v>4</v>
      </c>
      <c r="G15" s="61" t="s">
        <v>64</v>
      </c>
      <c r="H15" s="62" t="s">
        <v>107</v>
      </c>
      <c r="I15" s="51" t="s">
        <v>25</v>
      </c>
    </row>
    <row r="16" spans="2:9" ht="20.25" customHeight="1" x14ac:dyDescent="0.3">
      <c r="B16" s="3" t="s">
        <v>37</v>
      </c>
      <c r="C16" s="1">
        <v>297</v>
      </c>
      <c r="D16" s="1">
        <v>150</v>
      </c>
      <c r="E16" s="1">
        <v>432</v>
      </c>
      <c r="F16" s="2" t="s">
        <v>5</v>
      </c>
      <c r="G16" s="61"/>
      <c r="H16" s="62"/>
      <c r="I16" s="51"/>
    </row>
    <row r="17" spans="2:9" ht="20.25" customHeight="1" x14ac:dyDescent="0.3">
      <c r="B17" s="3" t="s">
        <v>38</v>
      </c>
      <c r="C17" s="1">
        <v>369</v>
      </c>
      <c r="D17" s="1">
        <v>180</v>
      </c>
      <c r="E17" s="1">
        <v>440</v>
      </c>
      <c r="F17" s="2" t="s">
        <v>4</v>
      </c>
      <c r="G17" s="61"/>
      <c r="H17" s="62" t="s">
        <v>106</v>
      </c>
      <c r="I17" s="51" t="s">
        <v>47</v>
      </c>
    </row>
    <row r="18" spans="2:9" ht="20.25" customHeight="1" x14ac:dyDescent="0.3">
      <c r="B18" s="3" t="s">
        <v>39</v>
      </c>
      <c r="C18" s="1">
        <v>343</v>
      </c>
      <c r="D18" s="1">
        <v>180</v>
      </c>
      <c r="E18" s="1">
        <v>440</v>
      </c>
      <c r="F18" s="2" t="s">
        <v>6</v>
      </c>
      <c r="G18" s="61"/>
      <c r="H18" s="62"/>
      <c r="I18" s="51"/>
    </row>
    <row r="19" spans="2:9" ht="20.25" customHeight="1" x14ac:dyDescent="0.3">
      <c r="B19" s="3" t="s">
        <v>68</v>
      </c>
      <c r="C19" s="1">
        <v>357</v>
      </c>
      <c r="D19" s="1">
        <v>150</v>
      </c>
      <c r="E19" s="1">
        <v>432</v>
      </c>
      <c r="F19" s="2" t="s">
        <v>4</v>
      </c>
      <c r="G19" s="61"/>
      <c r="H19" s="62" t="s">
        <v>18</v>
      </c>
      <c r="I19" s="51" t="s">
        <v>46</v>
      </c>
    </row>
    <row r="20" spans="2:9" ht="20.25" customHeight="1" x14ac:dyDescent="0.3">
      <c r="B20" s="3" t="s">
        <v>69</v>
      </c>
      <c r="C20" s="1">
        <v>297</v>
      </c>
      <c r="D20" s="1">
        <v>150</v>
      </c>
      <c r="E20" s="1">
        <v>432</v>
      </c>
      <c r="F20" s="2" t="s">
        <v>4</v>
      </c>
      <c r="G20" s="61"/>
      <c r="H20" s="62"/>
      <c r="I20" s="51"/>
    </row>
    <row r="21" spans="2:9" ht="20.25" customHeight="1" x14ac:dyDescent="0.3">
      <c r="B21" s="3" t="s">
        <v>42</v>
      </c>
      <c r="C21" s="1">
        <v>399.4</v>
      </c>
      <c r="D21" s="1">
        <v>219</v>
      </c>
      <c r="E21" s="1">
        <v>471</v>
      </c>
      <c r="F21" s="2" t="s">
        <v>9</v>
      </c>
      <c r="G21" s="2" t="s">
        <v>49</v>
      </c>
      <c r="H21" s="7" t="s">
        <v>19</v>
      </c>
      <c r="I21" s="10" t="s">
        <v>48</v>
      </c>
    </row>
    <row r="22" spans="2:9" ht="20.25" customHeight="1" x14ac:dyDescent="0.3">
      <c r="B22" s="3" t="s">
        <v>40</v>
      </c>
      <c r="C22" s="1">
        <v>360</v>
      </c>
      <c r="D22" s="1">
        <v>240</v>
      </c>
      <c r="E22" s="1">
        <v>403.2</v>
      </c>
      <c r="F22" s="2" t="s">
        <v>8</v>
      </c>
      <c r="G22" s="2" t="s">
        <v>50</v>
      </c>
      <c r="H22" s="7" t="s">
        <v>105</v>
      </c>
      <c r="I22" s="10" t="s">
        <v>48</v>
      </c>
    </row>
    <row r="23" spans="2:9" ht="20.25" customHeight="1" x14ac:dyDescent="0.3">
      <c r="B23" s="3" t="s">
        <v>41</v>
      </c>
      <c r="C23" s="1">
        <v>654</v>
      </c>
      <c r="D23" s="1">
        <v>248</v>
      </c>
      <c r="E23" s="1">
        <v>865.6</v>
      </c>
      <c r="F23" s="2" t="s">
        <v>8</v>
      </c>
      <c r="G23" s="2" t="s">
        <v>67</v>
      </c>
      <c r="H23" s="7" t="s">
        <v>10</v>
      </c>
      <c r="I23" s="10" t="s">
        <v>23</v>
      </c>
    </row>
    <row r="24" spans="2:9" ht="20.25" customHeight="1" thickBot="1" x14ac:dyDescent="0.35">
      <c r="B24" s="4" t="s">
        <v>91</v>
      </c>
      <c r="C24" s="5">
        <v>400</v>
      </c>
      <c r="D24" s="5"/>
      <c r="E24" s="5"/>
      <c r="F24" s="6" t="s">
        <v>72</v>
      </c>
      <c r="G24" s="6" t="s">
        <v>49</v>
      </c>
      <c r="H24" s="8"/>
      <c r="I24" s="11" t="s">
        <v>73</v>
      </c>
    </row>
  </sheetData>
  <mergeCells count="12">
    <mergeCell ref="G3:G7"/>
    <mergeCell ref="G15:G20"/>
    <mergeCell ref="H9:H12"/>
    <mergeCell ref="H19:H20"/>
    <mergeCell ref="H17:H18"/>
    <mergeCell ref="H15:H16"/>
    <mergeCell ref="I19:I20"/>
    <mergeCell ref="I17:I18"/>
    <mergeCell ref="I15:I16"/>
    <mergeCell ref="G8:G14"/>
    <mergeCell ref="H13:H14"/>
    <mergeCell ref="I9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70"/>
  <sheetViews>
    <sheetView topLeftCell="B116" workbookViewId="0">
      <selection activeCell="T168" sqref="T168"/>
    </sheetView>
  </sheetViews>
  <sheetFormatPr defaultRowHeight="16.5" x14ac:dyDescent="0.3"/>
  <cols>
    <col min="1" max="1" width="3.5" style="35" customWidth="1"/>
    <col min="2" max="7" width="9" style="35"/>
    <col min="8" max="8" width="12.625" style="35" bestFit="1" customWidth="1"/>
    <col min="9" max="16384" width="9" style="35"/>
  </cols>
  <sheetData>
    <row r="2" spans="2:17" x14ac:dyDescent="0.3">
      <c r="B2" s="63" t="s">
        <v>82</v>
      </c>
      <c r="C2" s="63"/>
      <c r="D2" s="63"/>
      <c r="F2" s="63" t="s">
        <v>84</v>
      </c>
      <c r="G2" s="63"/>
      <c r="H2" s="63"/>
      <c r="J2" s="62" t="s">
        <v>85</v>
      </c>
      <c r="K2" s="64"/>
      <c r="L2" s="64"/>
      <c r="M2" s="65"/>
      <c r="O2" s="63" t="s">
        <v>90</v>
      </c>
      <c r="P2" s="63"/>
      <c r="Q2" s="63"/>
    </row>
    <row r="3" spans="2:17" x14ac:dyDescent="0.3">
      <c r="B3" s="29" t="s">
        <v>77</v>
      </c>
      <c r="C3" s="29" t="s">
        <v>79</v>
      </c>
      <c r="D3" s="30">
        <v>3493</v>
      </c>
      <c r="F3" s="29" t="s">
        <v>76</v>
      </c>
      <c r="G3" s="29" t="s">
        <v>78</v>
      </c>
      <c r="H3" s="30">
        <v>3042</v>
      </c>
      <c r="J3" s="29" t="s">
        <v>76</v>
      </c>
      <c r="K3" s="29" t="s">
        <v>78</v>
      </c>
      <c r="L3" s="29" t="s">
        <v>86</v>
      </c>
      <c r="M3" s="29" t="s">
        <v>87</v>
      </c>
      <c r="O3" s="26" t="s">
        <v>88</v>
      </c>
      <c r="P3" s="26" t="s">
        <v>89</v>
      </c>
      <c r="Q3" s="26" t="s">
        <v>83</v>
      </c>
    </row>
    <row r="4" spans="2:17" ht="17.25" customHeight="1" x14ac:dyDescent="0.3">
      <c r="B4" s="31">
        <v>10</v>
      </c>
      <c r="C4" s="31">
        <f>(B4*2)</f>
        <v>20</v>
      </c>
      <c r="D4" s="28">
        <f>($D$3*($C4-20)/160)+50</f>
        <v>50</v>
      </c>
      <c r="F4" s="31">
        <v>10</v>
      </c>
      <c r="G4" s="31">
        <f>(F4*2)</f>
        <v>20</v>
      </c>
      <c r="H4" s="32">
        <f>($H$3*($G4-20)/160)+50</f>
        <v>50</v>
      </c>
      <c r="J4" s="33">
        <v>10</v>
      </c>
      <c r="K4" s="33">
        <f>(J4*2)</f>
        <v>20</v>
      </c>
      <c r="L4" s="33">
        <f>(K4-20)*19.4+50</f>
        <v>50</v>
      </c>
      <c r="M4" s="32">
        <f>(K4-20)*10.6+50</f>
        <v>50</v>
      </c>
      <c r="O4" s="27">
        <v>10</v>
      </c>
      <c r="P4" s="27">
        <f>(O4*2)</f>
        <v>20</v>
      </c>
      <c r="Q4" s="28">
        <f>(2200*(P4-20)/160)+50</f>
        <v>50</v>
      </c>
    </row>
    <row r="5" spans="2:17" ht="17.25" customHeight="1" x14ac:dyDescent="0.3">
      <c r="B5" s="31">
        <v>10.5</v>
      </c>
      <c r="C5" s="31">
        <v>21</v>
      </c>
      <c r="D5" s="28">
        <f t="shared" ref="D5:D68" si="0">($D$3*($C5-20)/160)+50</f>
        <v>71.831249999999997</v>
      </c>
      <c r="F5" s="31">
        <v>10.5</v>
      </c>
      <c r="G5" s="31">
        <f>(F5*2)</f>
        <v>21</v>
      </c>
      <c r="H5" s="32">
        <f>($H$3*($G5-20)/160)+50</f>
        <v>69.012500000000003</v>
      </c>
      <c r="J5" s="33"/>
      <c r="K5" s="33"/>
      <c r="L5" s="33"/>
      <c r="M5" s="32"/>
      <c r="O5" s="27">
        <v>10.5</v>
      </c>
      <c r="P5" s="27">
        <f>(O5*2)</f>
        <v>21</v>
      </c>
      <c r="Q5" s="28">
        <f>(2200*(P5-20)/160)+50</f>
        <v>63.75</v>
      </c>
    </row>
    <row r="6" spans="2:17" ht="17.25" customHeight="1" x14ac:dyDescent="0.3">
      <c r="B6" s="31">
        <v>11</v>
      </c>
      <c r="C6" s="29">
        <f t="shared" ref="C6:C132" si="1">(B6*2)</f>
        <v>22</v>
      </c>
      <c r="D6" s="28">
        <f t="shared" si="0"/>
        <v>93.662499999999994</v>
      </c>
      <c r="F6" s="29">
        <v>11</v>
      </c>
      <c r="G6" s="29">
        <f t="shared" ref="G6:G132" si="2">(F6*2)</f>
        <v>22</v>
      </c>
      <c r="H6" s="32">
        <f t="shared" ref="H6:H132" si="3">($H$3*($G6-20)/160)+50</f>
        <v>88.025000000000006</v>
      </c>
      <c r="J6" s="29">
        <v>11</v>
      </c>
      <c r="K6" s="29">
        <f t="shared" ref="K6:K132" si="4">(J6*2)</f>
        <v>22</v>
      </c>
      <c r="L6" s="32">
        <f t="shared" ref="L6:L132" si="5">(K6-20)*19.4+50</f>
        <v>88.8</v>
      </c>
      <c r="M6" s="32">
        <f t="shared" ref="M6:M132" si="6">(K6-20)*10.6+50</f>
        <v>71.2</v>
      </c>
      <c r="O6" s="26">
        <v>11</v>
      </c>
      <c r="P6" s="26">
        <f t="shared" ref="P6:P132" si="7">(O6*2)</f>
        <v>22</v>
      </c>
      <c r="Q6" s="34">
        <f>(2200*(P6-20)/160)+50</f>
        <v>77.5</v>
      </c>
    </row>
    <row r="7" spans="2:17" ht="17.25" customHeight="1" x14ac:dyDescent="0.3">
      <c r="B7" s="31">
        <v>11.5</v>
      </c>
      <c r="C7" s="36">
        <f t="shared" si="1"/>
        <v>23</v>
      </c>
      <c r="D7" s="28">
        <f t="shared" si="0"/>
        <v>115.49375000000001</v>
      </c>
      <c r="F7" s="31">
        <v>11.5</v>
      </c>
      <c r="G7" s="31">
        <f t="shared" si="2"/>
        <v>23</v>
      </c>
      <c r="H7" s="32">
        <f t="shared" si="3"/>
        <v>107.03749999999999</v>
      </c>
      <c r="J7" s="36"/>
      <c r="K7" s="36"/>
      <c r="L7" s="32"/>
      <c r="M7" s="32"/>
      <c r="O7" s="27">
        <v>11.5</v>
      </c>
      <c r="P7" s="27">
        <f t="shared" si="7"/>
        <v>23</v>
      </c>
      <c r="Q7" s="28">
        <f t="shared" ref="Q7:Q70" si="8">(2200*(P7-20)/160)+50</f>
        <v>91.25</v>
      </c>
    </row>
    <row r="8" spans="2:17" ht="17.25" customHeight="1" x14ac:dyDescent="0.3">
      <c r="B8" s="31">
        <v>12</v>
      </c>
      <c r="C8" s="36">
        <f t="shared" si="1"/>
        <v>24</v>
      </c>
      <c r="D8" s="28">
        <f t="shared" si="0"/>
        <v>137.32499999999999</v>
      </c>
      <c r="F8" s="31">
        <v>12</v>
      </c>
      <c r="G8" s="31">
        <f t="shared" si="2"/>
        <v>24</v>
      </c>
      <c r="H8" s="32">
        <f t="shared" si="3"/>
        <v>126.05</v>
      </c>
      <c r="J8" s="29">
        <v>12</v>
      </c>
      <c r="K8" s="29">
        <f t="shared" si="4"/>
        <v>24</v>
      </c>
      <c r="L8" s="32">
        <f t="shared" si="5"/>
        <v>127.6</v>
      </c>
      <c r="M8" s="32">
        <f t="shared" si="6"/>
        <v>92.4</v>
      </c>
      <c r="O8" s="27">
        <v>12</v>
      </c>
      <c r="P8" s="27">
        <f t="shared" si="7"/>
        <v>24</v>
      </c>
      <c r="Q8" s="28">
        <f t="shared" si="8"/>
        <v>105</v>
      </c>
    </row>
    <row r="9" spans="2:17" ht="17.25" customHeight="1" x14ac:dyDescent="0.3">
      <c r="B9" s="31">
        <v>12.5</v>
      </c>
      <c r="C9" s="36">
        <f t="shared" si="1"/>
        <v>25</v>
      </c>
      <c r="D9" s="28">
        <f t="shared" si="0"/>
        <v>159.15625</v>
      </c>
      <c r="F9" s="36">
        <v>12.5</v>
      </c>
      <c r="G9" s="36">
        <f t="shared" si="2"/>
        <v>25</v>
      </c>
      <c r="H9" s="32">
        <f t="shared" si="3"/>
        <v>145.0625</v>
      </c>
      <c r="J9" s="36"/>
      <c r="K9" s="36"/>
      <c r="L9" s="32"/>
      <c r="M9" s="32"/>
      <c r="O9" s="26">
        <v>12.5</v>
      </c>
      <c r="P9" s="26">
        <f t="shared" si="7"/>
        <v>25</v>
      </c>
      <c r="Q9" s="34">
        <f t="shared" si="8"/>
        <v>118.75</v>
      </c>
    </row>
    <row r="10" spans="2:17" ht="17.25" customHeight="1" x14ac:dyDescent="0.3">
      <c r="B10" s="31">
        <v>13</v>
      </c>
      <c r="C10" s="36">
        <f t="shared" si="1"/>
        <v>26</v>
      </c>
      <c r="D10" s="28">
        <f t="shared" si="0"/>
        <v>180.98750000000001</v>
      </c>
      <c r="F10" s="31">
        <v>13</v>
      </c>
      <c r="G10" s="31">
        <f t="shared" si="2"/>
        <v>26</v>
      </c>
      <c r="H10" s="32">
        <f t="shared" si="3"/>
        <v>164.07499999999999</v>
      </c>
      <c r="J10" s="29">
        <v>13</v>
      </c>
      <c r="K10" s="29">
        <f t="shared" si="4"/>
        <v>26</v>
      </c>
      <c r="L10" s="32">
        <f t="shared" si="5"/>
        <v>166.39999999999998</v>
      </c>
      <c r="M10" s="32">
        <f t="shared" si="6"/>
        <v>113.6</v>
      </c>
      <c r="O10" s="27">
        <v>13</v>
      </c>
      <c r="P10" s="27">
        <f t="shared" si="7"/>
        <v>26</v>
      </c>
      <c r="Q10" s="28">
        <f t="shared" si="8"/>
        <v>132.5</v>
      </c>
    </row>
    <row r="11" spans="2:17" ht="17.25" customHeight="1" x14ac:dyDescent="0.3">
      <c r="B11" s="31">
        <v>13.5</v>
      </c>
      <c r="C11" s="36">
        <f t="shared" si="1"/>
        <v>27</v>
      </c>
      <c r="D11" s="28">
        <f t="shared" si="0"/>
        <v>202.81874999999999</v>
      </c>
      <c r="F11" s="31">
        <v>13.5</v>
      </c>
      <c r="G11" s="31">
        <f t="shared" si="2"/>
        <v>27</v>
      </c>
      <c r="H11" s="32">
        <f t="shared" si="3"/>
        <v>183.08750000000001</v>
      </c>
      <c r="J11" s="36"/>
      <c r="K11" s="36"/>
      <c r="L11" s="32"/>
      <c r="M11" s="32"/>
      <c r="O11" s="27">
        <v>13.5</v>
      </c>
      <c r="P11" s="27">
        <f t="shared" si="7"/>
        <v>27</v>
      </c>
      <c r="Q11" s="28">
        <f t="shared" si="8"/>
        <v>146.25</v>
      </c>
    </row>
    <row r="12" spans="2:17" ht="17.25" customHeight="1" x14ac:dyDescent="0.3">
      <c r="B12" s="31">
        <v>14</v>
      </c>
      <c r="C12" s="36">
        <f t="shared" si="1"/>
        <v>28</v>
      </c>
      <c r="D12" s="28">
        <f t="shared" si="0"/>
        <v>224.65</v>
      </c>
      <c r="F12" s="36">
        <v>14</v>
      </c>
      <c r="G12" s="36">
        <f t="shared" si="2"/>
        <v>28</v>
      </c>
      <c r="H12" s="32">
        <f t="shared" si="3"/>
        <v>202.1</v>
      </c>
      <c r="J12" s="29">
        <v>14</v>
      </c>
      <c r="K12" s="29">
        <f t="shared" si="4"/>
        <v>28</v>
      </c>
      <c r="L12" s="32">
        <f t="shared" si="5"/>
        <v>205.2</v>
      </c>
      <c r="M12" s="32">
        <f t="shared" si="6"/>
        <v>134.80000000000001</v>
      </c>
      <c r="O12" s="26">
        <v>14</v>
      </c>
      <c r="P12" s="27">
        <f t="shared" si="7"/>
        <v>28</v>
      </c>
      <c r="Q12" s="34">
        <f t="shared" si="8"/>
        <v>160</v>
      </c>
    </row>
    <row r="13" spans="2:17" ht="17.25" customHeight="1" x14ac:dyDescent="0.3">
      <c r="B13" s="31">
        <v>14.5</v>
      </c>
      <c r="C13" s="36">
        <f t="shared" si="1"/>
        <v>29</v>
      </c>
      <c r="D13" s="28">
        <f t="shared" si="0"/>
        <v>246.48124999999999</v>
      </c>
      <c r="F13" s="31">
        <v>14.5</v>
      </c>
      <c r="G13" s="31">
        <f t="shared" si="2"/>
        <v>29</v>
      </c>
      <c r="H13" s="32">
        <f t="shared" si="3"/>
        <v>221.11250000000001</v>
      </c>
      <c r="J13" s="36"/>
      <c r="K13" s="36"/>
      <c r="L13" s="32"/>
      <c r="M13" s="32"/>
      <c r="O13" s="27">
        <v>14.5</v>
      </c>
      <c r="P13" s="27">
        <f t="shared" si="7"/>
        <v>29</v>
      </c>
      <c r="Q13" s="28">
        <f t="shared" si="8"/>
        <v>173.75</v>
      </c>
    </row>
    <row r="14" spans="2:17" ht="17.25" customHeight="1" x14ac:dyDescent="0.3">
      <c r="B14" s="31">
        <v>15</v>
      </c>
      <c r="C14" s="36">
        <f t="shared" si="1"/>
        <v>30</v>
      </c>
      <c r="D14" s="28">
        <f t="shared" si="0"/>
        <v>268.3125</v>
      </c>
      <c r="F14" s="31">
        <v>15</v>
      </c>
      <c r="G14" s="31">
        <f t="shared" si="2"/>
        <v>30</v>
      </c>
      <c r="H14" s="32">
        <f t="shared" si="3"/>
        <v>240.125</v>
      </c>
      <c r="J14" s="29">
        <v>15</v>
      </c>
      <c r="K14" s="29">
        <f t="shared" si="4"/>
        <v>30</v>
      </c>
      <c r="L14" s="32">
        <f t="shared" si="5"/>
        <v>244</v>
      </c>
      <c r="M14" s="32">
        <f t="shared" si="6"/>
        <v>156</v>
      </c>
      <c r="O14" s="27">
        <v>15</v>
      </c>
      <c r="P14" s="26">
        <f t="shared" si="7"/>
        <v>30</v>
      </c>
      <c r="Q14" s="28">
        <f t="shared" si="8"/>
        <v>187.5</v>
      </c>
    </row>
    <row r="15" spans="2:17" ht="17.25" customHeight="1" x14ac:dyDescent="0.3">
      <c r="B15" s="31">
        <v>15.5</v>
      </c>
      <c r="C15" s="36">
        <f t="shared" si="1"/>
        <v>31</v>
      </c>
      <c r="D15" s="28">
        <f t="shared" si="0"/>
        <v>290.14375000000001</v>
      </c>
      <c r="F15" s="36">
        <v>15.5</v>
      </c>
      <c r="G15" s="36">
        <f t="shared" si="2"/>
        <v>31</v>
      </c>
      <c r="H15" s="32">
        <f t="shared" si="3"/>
        <v>259.13749999999999</v>
      </c>
      <c r="J15" s="36"/>
      <c r="K15" s="36"/>
      <c r="L15" s="32"/>
      <c r="M15" s="32"/>
      <c r="O15" s="26">
        <v>15.5</v>
      </c>
      <c r="P15" s="27">
        <f t="shared" si="7"/>
        <v>31</v>
      </c>
      <c r="Q15" s="34">
        <f t="shared" si="8"/>
        <v>201.25</v>
      </c>
    </row>
    <row r="16" spans="2:17" ht="17.25" customHeight="1" x14ac:dyDescent="0.3">
      <c r="B16" s="31">
        <v>16</v>
      </c>
      <c r="C16" s="36">
        <f t="shared" si="1"/>
        <v>32</v>
      </c>
      <c r="D16" s="28">
        <f t="shared" si="0"/>
        <v>311.97500000000002</v>
      </c>
      <c r="F16" s="31">
        <v>16</v>
      </c>
      <c r="G16" s="31">
        <f t="shared" si="2"/>
        <v>32</v>
      </c>
      <c r="H16" s="32">
        <f t="shared" si="3"/>
        <v>278.14999999999998</v>
      </c>
      <c r="J16" s="29">
        <v>16</v>
      </c>
      <c r="K16" s="29">
        <f t="shared" si="4"/>
        <v>32</v>
      </c>
      <c r="L16" s="32">
        <f t="shared" si="5"/>
        <v>282.79999999999995</v>
      </c>
      <c r="M16" s="32">
        <f t="shared" si="6"/>
        <v>177.2</v>
      </c>
      <c r="O16" s="27">
        <v>16</v>
      </c>
      <c r="P16" s="27">
        <f t="shared" si="7"/>
        <v>32</v>
      </c>
      <c r="Q16" s="28">
        <f t="shared" si="8"/>
        <v>215</v>
      </c>
    </row>
    <row r="17" spans="2:17" ht="17.25" customHeight="1" x14ac:dyDescent="0.3">
      <c r="B17" s="31">
        <v>16.5</v>
      </c>
      <c r="C17" s="36">
        <f t="shared" si="1"/>
        <v>33</v>
      </c>
      <c r="D17" s="28">
        <f t="shared" si="0"/>
        <v>333.80624999999998</v>
      </c>
      <c r="F17" s="31">
        <v>16.5</v>
      </c>
      <c r="G17" s="31">
        <f t="shared" si="2"/>
        <v>33</v>
      </c>
      <c r="H17" s="32">
        <f t="shared" si="3"/>
        <v>297.16250000000002</v>
      </c>
      <c r="J17" s="36"/>
      <c r="K17" s="36"/>
      <c r="L17" s="32"/>
      <c r="M17" s="32"/>
      <c r="O17" s="27">
        <v>16.5</v>
      </c>
      <c r="P17" s="26">
        <f t="shared" si="7"/>
        <v>33</v>
      </c>
      <c r="Q17" s="28">
        <f t="shared" si="8"/>
        <v>228.75</v>
      </c>
    </row>
    <row r="18" spans="2:17" ht="17.25" customHeight="1" x14ac:dyDescent="0.3">
      <c r="B18" s="31">
        <v>17</v>
      </c>
      <c r="C18" s="36">
        <f t="shared" si="1"/>
        <v>34</v>
      </c>
      <c r="D18" s="28">
        <f t="shared" si="0"/>
        <v>355.63749999999999</v>
      </c>
      <c r="F18" s="36">
        <v>17</v>
      </c>
      <c r="G18" s="36">
        <f t="shared" si="2"/>
        <v>34</v>
      </c>
      <c r="H18" s="32">
        <f t="shared" si="3"/>
        <v>316.17500000000001</v>
      </c>
      <c r="J18" s="29">
        <v>17</v>
      </c>
      <c r="K18" s="29">
        <f t="shared" si="4"/>
        <v>34</v>
      </c>
      <c r="L18" s="32">
        <f t="shared" si="5"/>
        <v>321.59999999999997</v>
      </c>
      <c r="M18" s="32">
        <f t="shared" si="6"/>
        <v>198.4</v>
      </c>
      <c r="O18" s="26">
        <v>17</v>
      </c>
      <c r="P18" s="27">
        <f t="shared" si="7"/>
        <v>34</v>
      </c>
      <c r="Q18" s="34">
        <f t="shared" si="8"/>
        <v>242.5</v>
      </c>
    </row>
    <row r="19" spans="2:17" ht="17.25" customHeight="1" x14ac:dyDescent="0.3">
      <c r="B19" s="31">
        <v>17.5</v>
      </c>
      <c r="C19" s="36">
        <f t="shared" si="1"/>
        <v>35</v>
      </c>
      <c r="D19" s="28">
        <f t="shared" si="0"/>
        <v>377.46875</v>
      </c>
      <c r="F19" s="31">
        <v>17.5</v>
      </c>
      <c r="G19" s="31">
        <f t="shared" si="2"/>
        <v>35</v>
      </c>
      <c r="H19" s="32">
        <f t="shared" si="3"/>
        <v>335.1875</v>
      </c>
      <c r="J19" s="36"/>
      <c r="K19" s="36"/>
      <c r="L19" s="32"/>
      <c r="M19" s="32"/>
      <c r="O19" s="27">
        <v>17.5</v>
      </c>
      <c r="P19" s="27">
        <f t="shared" si="7"/>
        <v>35</v>
      </c>
      <c r="Q19" s="28">
        <f t="shared" si="8"/>
        <v>256.25</v>
      </c>
    </row>
    <row r="20" spans="2:17" ht="17.25" customHeight="1" x14ac:dyDescent="0.3">
      <c r="B20" s="31">
        <v>18</v>
      </c>
      <c r="C20" s="36">
        <f t="shared" si="1"/>
        <v>36</v>
      </c>
      <c r="D20" s="28">
        <f t="shared" si="0"/>
        <v>399.3</v>
      </c>
      <c r="F20" s="31">
        <v>18</v>
      </c>
      <c r="G20" s="31">
        <f t="shared" si="2"/>
        <v>36</v>
      </c>
      <c r="H20" s="32">
        <f t="shared" si="3"/>
        <v>354.2</v>
      </c>
      <c r="J20" s="29">
        <v>18</v>
      </c>
      <c r="K20" s="29">
        <f t="shared" si="4"/>
        <v>36</v>
      </c>
      <c r="L20" s="32">
        <f t="shared" si="5"/>
        <v>360.4</v>
      </c>
      <c r="M20" s="32">
        <f t="shared" si="6"/>
        <v>219.6</v>
      </c>
      <c r="O20" s="27">
        <v>18</v>
      </c>
      <c r="P20" s="27">
        <f t="shared" si="7"/>
        <v>36</v>
      </c>
      <c r="Q20" s="28">
        <f t="shared" si="8"/>
        <v>270</v>
      </c>
    </row>
    <row r="21" spans="2:17" ht="17.25" customHeight="1" x14ac:dyDescent="0.3">
      <c r="B21" s="31">
        <v>18.5</v>
      </c>
      <c r="C21" s="36">
        <f t="shared" si="1"/>
        <v>37</v>
      </c>
      <c r="D21" s="28">
        <f t="shared" si="0"/>
        <v>421.13125000000002</v>
      </c>
      <c r="F21" s="36">
        <v>18.5</v>
      </c>
      <c r="G21" s="36">
        <f t="shared" si="2"/>
        <v>37</v>
      </c>
      <c r="H21" s="32">
        <f t="shared" si="3"/>
        <v>373.21249999999998</v>
      </c>
      <c r="J21" s="36"/>
      <c r="K21" s="36"/>
      <c r="L21" s="32"/>
      <c r="M21" s="32"/>
      <c r="O21" s="26">
        <v>18.5</v>
      </c>
      <c r="P21" s="27">
        <f t="shared" si="7"/>
        <v>37</v>
      </c>
      <c r="Q21" s="34">
        <f t="shared" si="8"/>
        <v>283.75</v>
      </c>
    </row>
    <row r="22" spans="2:17" ht="17.25" customHeight="1" x14ac:dyDescent="0.3">
      <c r="B22" s="31">
        <v>19</v>
      </c>
      <c r="C22" s="36">
        <f t="shared" si="1"/>
        <v>38</v>
      </c>
      <c r="D22" s="28">
        <f t="shared" si="0"/>
        <v>442.96249999999998</v>
      </c>
      <c r="F22" s="31">
        <v>19</v>
      </c>
      <c r="G22" s="31">
        <f t="shared" si="2"/>
        <v>38</v>
      </c>
      <c r="H22" s="32">
        <f t="shared" si="3"/>
        <v>392.22500000000002</v>
      </c>
      <c r="J22" s="29">
        <v>19</v>
      </c>
      <c r="K22" s="29">
        <f t="shared" si="4"/>
        <v>38</v>
      </c>
      <c r="L22" s="32">
        <f t="shared" si="5"/>
        <v>399.2</v>
      </c>
      <c r="M22" s="32">
        <f t="shared" si="6"/>
        <v>240.79999999999998</v>
      </c>
      <c r="O22" s="27">
        <v>19</v>
      </c>
      <c r="P22" s="26">
        <f t="shared" si="7"/>
        <v>38</v>
      </c>
      <c r="Q22" s="28">
        <f t="shared" si="8"/>
        <v>297.5</v>
      </c>
    </row>
    <row r="23" spans="2:17" ht="17.25" customHeight="1" x14ac:dyDescent="0.3">
      <c r="B23" s="31">
        <v>19.5</v>
      </c>
      <c r="C23" s="36">
        <f t="shared" si="1"/>
        <v>39</v>
      </c>
      <c r="D23" s="28">
        <f t="shared" si="0"/>
        <v>464.79374999999999</v>
      </c>
      <c r="F23" s="31">
        <v>19.5</v>
      </c>
      <c r="G23" s="31">
        <f t="shared" si="2"/>
        <v>39</v>
      </c>
      <c r="H23" s="32">
        <f t="shared" si="3"/>
        <v>411.23750000000001</v>
      </c>
      <c r="J23" s="36"/>
      <c r="K23" s="36"/>
      <c r="L23" s="32"/>
      <c r="M23" s="32"/>
      <c r="O23" s="27">
        <v>19.5</v>
      </c>
      <c r="P23" s="27">
        <f t="shared" si="7"/>
        <v>39</v>
      </c>
      <c r="Q23" s="28">
        <f t="shared" si="8"/>
        <v>311.25</v>
      </c>
    </row>
    <row r="24" spans="2:17" ht="17.25" customHeight="1" x14ac:dyDescent="0.3">
      <c r="B24" s="31">
        <v>20</v>
      </c>
      <c r="C24" s="36">
        <f t="shared" si="1"/>
        <v>40</v>
      </c>
      <c r="D24" s="28">
        <f t="shared" si="0"/>
        <v>486.625</v>
      </c>
      <c r="F24" s="36">
        <v>20</v>
      </c>
      <c r="G24" s="36">
        <f t="shared" si="2"/>
        <v>40</v>
      </c>
      <c r="H24" s="32">
        <f t="shared" si="3"/>
        <v>430.25</v>
      </c>
      <c r="J24" s="29">
        <v>20</v>
      </c>
      <c r="K24" s="29">
        <f t="shared" si="4"/>
        <v>40</v>
      </c>
      <c r="L24" s="32">
        <f t="shared" si="5"/>
        <v>438</v>
      </c>
      <c r="M24" s="32">
        <f t="shared" si="6"/>
        <v>262</v>
      </c>
      <c r="O24" s="26">
        <v>20</v>
      </c>
      <c r="P24" s="27">
        <f t="shared" si="7"/>
        <v>40</v>
      </c>
      <c r="Q24" s="34">
        <f t="shared" si="8"/>
        <v>325</v>
      </c>
    </row>
    <row r="25" spans="2:17" ht="17.25" customHeight="1" x14ac:dyDescent="0.3">
      <c r="B25" s="31">
        <v>20.5</v>
      </c>
      <c r="C25" s="36">
        <f t="shared" si="1"/>
        <v>41</v>
      </c>
      <c r="D25" s="28">
        <f t="shared" si="0"/>
        <v>508.45625000000001</v>
      </c>
      <c r="F25" s="31">
        <v>20.5</v>
      </c>
      <c r="G25" s="31">
        <f t="shared" si="2"/>
        <v>41</v>
      </c>
      <c r="H25" s="32">
        <f t="shared" si="3"/>
        <v>449.26249999999999</v>
      </c>
      <c r="J25" s="36"/>
      <c r="K25" s="36"/>
      <c r="L25" s="32"/>
      <c r="M25" s="32"/>
      <c r="O25" s="27">
        <v>20.5</v>
      </c>
      <c r="P25" s="26">
        <f t="shared" si="7"/>
        <v>41</v>
      </c>
      <c r="Q25" s="28">
        <f t="shared" si="8"/>
        <v>338.75</v>
      </c>
    </row>
    <row r="26" spans="2:17" ht="17.25" customHeight="1" x14ac:dyDescent="0.3">
      <c r="B26" s="31">
        <v>21</v>
      </c>
      <c r="C26" s="36">
        <f t="shared" si="1"/>
        <v>42</v>
      </c>
      <c r="D26" s="28">
        <f t="shared" si="0"/>
        <v>530.28750000000002</v>
      </c>
      <c r="F26" s="31">
        <v>21</v>
      </c>
      <c r="G26" s="31">
        <f t="shared" si="2"/>
        <v>42</v>
      </c>
      <c r="H26" s="32">
        <f t="shared" si="3"/>
        <v>468.27499999999998</v>
      </c>
      <c r="J26" s="29">
        <v>21</v>
      </c>
      <c r="K26" s="29">
        <f t="shared" si="4"/>
        <v>42</v>
      </c>
      <c r="L26" s="32">
        <f t="shared" si="5"/>
        <v>476.79999999999995</v>
      </c>
      <c r="M26" s="32">
        <f t="shared" si="6"/>
        <v>283.2</v>
      </c>
      <c r="O26" s="27">
        <v>21</v>
      </c>
      <c r="P26" s="27">
        <f t="shared" si="7"/>
        <v>42</v>
      </c>
      <c r="Q26" s="28">
        <f t="shared" si="8"/>
        <v>352.5</v>
      </c>
    </row>
    <row r="27" spans="2:17" ht="17.25" customHeight="1" x14ac:dyDescent="0.3">
      <c r="B27" s="31">
        <v>21.5</v>
      </c>
      <c r="C27" s="36">
        <f t="shared" si="1"/>
        <v>43</v>
      </c>
      <c r="D27" s="28">
        <f t="shared" si="0"/>
        <v>552.11874999999998</v>
      </c>
      <c r="F27" s="36">
        <v>21.5</v>
      </c>
      <c r="G27" s="36">
        <f t="shared" si="2"/>
        <v>43</v>
      </c>
      <c r="H27" s="32">
        <f t="shared" si="3"/>
        <v>487.28750000000002</v>
      </c>
      <c r="J27" s="36"/>
      <c r="K27" s="36"/>
      <c r="L27" s="32"/>
      <c r="M27" s="32"/>
      <c r="O27" s="26">
        <v>21.5</v>
      </c>
      <c r="P27" s="27">
        <f t="shared" si="7"/>
        <v>43</v>
      </c>
      <c r="Q27" s="34">
        <f t="shared" si="8"/>
        <v>366.25</v>
      </c>
    </row>
    <row r="28" spans="2:17" ht="17.25" customHeight="1" x14ac:dyDescent="0.3">
      <c r="B28" s="31">
        <v>22</v>
      </c>
      <c r="C28" s="36">
        <f t="shared" si="1"/>
        <v>44</v>
      </c>
      <c r="D28" s="28">
        <f t="shared" si="0"/>
        <v>573.95000000000005</v>
      </c>
      <c r="F28" s="31">
        <v>22</v>
      </c>
      <c r="G28" s="31">
        <f t="shared" si="2"/>
        <v>44</v>
      </c>
      <c r="H28" s="32">
        <f t="shared" si="3"/>
        <v>506.3</v>
      </c>
      <c r="J28" s="29">
        <v>22</v>
      </c>
      <c r="K28" s="29">
        <f t="shared" si="4"/>
        <v>44</v>
      </c>
      <c r="L28" s="32">
        <f t="shared" si="5"/>
        <v>515.59999999999991</v>
      </c>
      <c r="M28" s="32">
        <f t="shared" si="6"/>
        <v>304.39999999999998</v>
      </c>
      <c r="O28" s="27">
        <v>22</v>
      </c>
      <c r="P28" s="27">
        <f t="shared" si="7"/>
        <v>44</v>
      </c>
      <c r="Q28" s="28">
        <f t="shared" si="8"/>
        <v>380</v>
      </c>
    </row>
    <row r="29" spans="2:17" ht="17.25" customHeight="1" x14ac:dyDescent="0.3">
      <c r="B29" s="31">
        <v>22.5</v>
      </c>
      <c r="C29" s="36">
        <f t="shared" si="1"/>
        <v>45</v>
      </c>
      <c r="D29" s="28">
        <f t="shared" si="0"/>
        <v>595.78125</v>
      </c>
      <c r="F29" s="31">
        <v>22.5</v>
      </c>
      <c r="G29" s="31">
        <f t="shared" si="2"/>
        <v>45</v>
      </c>
      <c r="H29" s="32">
        <f t="shared" si="3"/>
        <v>525.3125</v>
      </c>
      <c r="J29" s="36"/>
      <c r="K29" s="36"/>
      <c r="L29" s="32"/>
      <c r="M29" s="32"/>
      <c r="O29" s="27">
        <v>22.5</v>
      </c>
      <c r="P29" s="27">
        <f t="shared" si="7"/>
        <v>45</v>
      </c>
      <c r="Q29" s="28">
        <f t="shared" si="8"/>
        <v>393.75</v>
      </c>
    </row>
    <row r="30" spans="2:17" ht="17.25" customHeight="1" x14ac:dyDescent="0.3">
      <c r="B30" s="31">
        <v>23</v>
      </c>
      <c r="C30" s="36">
        <f t="shared" si="1"/>
        <v>46</v>
      </c>
      <c r="D30" s="28">
        <f t="shared" si="0"/>
        <v>617.61249999999995</v>
      </c>
      <c r="F30" s="36">
        <v>23</v>
      </c>
      <c r="G30" s="36">
        <f t="shared" si="2"/>
        <v>46</v>
      </c>
      <c r="H30" s="32">
        <f t="shared" si="3"/>
        <v>544.32500000000005</v>
      </c>
      <c r="J30" s="29">
        <v>23</v>
      </c>
      <c r="K30" s="29">
        <f t="shared" si="4"/>
        <v>46</v>
      </c>
      <c r="L30" s="32">
        <f t="shared" si="5"/>
        <v>554.4</v>
      </c>
      <c r="M30" s="32">
        <f t="shared" si="6"/>
        <v>325.59999999999997</v>
      </c>
      <c r="O30" s="26">
        <v>23</v>
      </c>
      <c r="P30" s="26">
        <f t="shared" si="7"/>
        <v>46</v>
      </c>
      <c r="Q30" s="34">
        <f t="shared" si="8"/>
        <v>407.5</v>
      </c>
    </row>
    <row r="31" spans="2:17" ht="17.25" customHeight="1" x14ac:dyDescent="0.3">
      <c r="B31" s="31">
        <v>23.5</v>
      </c>
      <c r="C31" s="36">
        <f t="shared" si="1"/>
        <v>47</v>
      </c>
      <c r="D31" s="28">
        <f t="shared" si="0"/>
        <v>639.44375000000002</v>
      </c>
      <c r="F31" s="31">
        <v>23.5</v>
      </c>
      <c r="G31" s="31">
        <f t="shared" si="2"/>
        <v>47</v>
      </c>
      <c r="H31" s="32">
        <f t="shared" si="3"/>
        <v>563.33749999999998</v>
      </c>
      <c r="J31" s="36"/>
      <c r="K31" s="36"/>
      <c r="L31" s="32"/>
      <c r="M31" s="32"/>
      <c r="O31" s="27">
        <v>23.5</v>
      </c>
      <c r="P31" s="27">
        <f t="shared" si="7"/>
        <v>47</v>
      </c>
      <c r="Q31" s="28">
        <f t="shared" si="8"/>
        <v>421.25</v>
      </c>
    </row>
    <row r="32" spans="2:17" ht="17.25" customHeight="1" x14ac:dyDescent="0.3">
      <c r="B32" s="31">
        <v>24</v>
      </c>
      <c r="C32" s="36">
        <f t="shared" si="1"/>
        <v>48</v>
      </c>
      <c r="D32" s="28">
        <f t="shared" si="0"/>
        <v>661.27499999999998</v>
      </c>
      <c r="F32" s="31">
        <v>24</v>
      </c>
      <c r="G32" s="31">
        <f t="shared" si="2"/>
        <v>48</v>
      </c>
      <c r="H32" s="32">
        <f t="shared" si="3"/>
        <v>582.35</v>
      </c>
      <c r="J32" s="29">
        <v>24</v>
      </c>
      <c r="K32" s="29">
        <f t="shared" si="4"/>
        <v>48</v>
      </c>
      <c r="L32" s="32">
        <f t="shared" si="5"/>
        <v>593.19999999999993</v>
      </c>
      <c r="M32" s="32">
        <f t="shared" si="6"/>
        <v>346.8</v>
      </c>
      <c r="O32" s="27">
        <v>24</v>
      </c>
      <c r="P32" s="27">
        <f t="shared" si="7"/>
        <v>48</v>
      </c>
      <c r="Q32" s="28">
        <f t="shared" si="8"/>
        <v>435</v>
      </c>
    </row>
    <row r="33" spans="2:17" ht="17.25" customHeight="1" x14ac:dyDescent="0.3">
      <c r="B33" s="31">
        <v>24.5</v>
      </c>
      <c r="C33" s="36">
        <f t="shared" si="1"/>
        <v>49</v>
      </c>
      <c r="D33" s="28">
        <f t="shared" si="0"/>
        <v>683.10625000000005</v>
      </c>
      <c r="F33" s="36">
        <v>24.5</v>
      </c>
      <c r="G33" s="36">
        <f t="shared" si="2"/>
        <v>49</v>
      </c>
      <c r="H33" s="32">
        <f t="shared" si="3"/>
        <v>601.36249999999995</v>
      </c>
      <c r="J33" s="36"/>
      <c r="K33" s="36"/>
      <c r="L33" s="32"/>
      <c r="M33" s="32"/>
      <c r="O33" s="26">
        <v>24.5</v>
      </c>
      <c r="P33" s="26">
        <f t="shared" si="7"/>
        <v>49</v>
      </c>
      <c r="Q33" s="34">
        <f t="shared" si="8"/>
        <v>448.75</v>
      </c>
    </row>
    <row r="34" spans="2:17" ht="17.25" customHeight="1" x14ac:dyDescent="0.3">
      <c r="B34" s="31">
        <v>25</v>
      </c>
      <c r="C34" s="36">
        <f t="shared" si="1"/>
        <v>50</v>
      </c>
      <c r="D34" s="28">
        <f t="shared" si="0"/>
        <v>704.9375</v>
      </c>
      <c r="F34" s="31">
        <v>25</v>
      </c>
      <c r="G34" s="31">
        <f t="shared" si="2"/>
        <v>50</v>
      </c>
      <c r="H34" s="32">
        <f t="shared" si="3"/>
        <v>620.375</v>
      </c>
      <c r="J34" s="29">
        <v>25</v>
      </c>
      <c r="K34" s="29">
        <f t="shared" si="4"/>
        <v>50</v>
      </c>
      <c r="L34" s="32">
        <f t="shared" si="5"/>
        <v>632</v>
      </c>
      <c r="M34" s="32">
        <f t="shared" si="6"/>
        <v>368</v>
      </c>
      <c r="O34" s="27">
        <v>25</v>
      </c>
      <c r="P34" s="27">
        <f t="shared" si="7"/>
        <v>50</v>
      </c>
      <c r="Q34" s="28">
        <f t="shared" si="8"/>
        <v>462.5</v>
      </c>
    </row>
    <row r="35" spans="2:17" ht="17.25" customHeight="1" x14ac:dyDescent="0.3">
      <c r="B35" s="31">
        <v>25.5</v>
      </c>
      <c r="C35" s="36">
        <f t="shared" si="1"/>
        <v>51</v>
      </c>
      <c r="D35" s="28">
        <f t="shared" si="0"/>
        <v>726.76874999999995</v>
      </c>
      <c r="F35" s="31">
        <v>25.5</v>
      </c>
      <c r="G35" s="31">
        <f t="shared" si="2"/>
        <v>51</v>
      </c>
      <c r="H35" s="32">
        <f t="shared" si="3"/>
        <v>639.38750000000005</v>
      </c>
      <c r="J35" s="36"/>
      <c r="K35" s="36"/>
      <c r="L35" s="32"/>
      <c r="M35" s="32"/>
      <c r="O35" s="27">
        <v>25.5</v>
      </c>
      <c r="P35" s="27">
        <f t="shared" si="7"/>
        <v>51</v>
      </c>
      <c r="Q35" s="28">
        <f t="shared" si="8"/>
        <v>476.25</v>
      </c>
    </row>
    <row r="36" spans="2:17" ht="17.25" customHeight="1" x14ac:dyDescent="0.3">
      <c r="B36" s="31">
        <v>26</v>
      </c>
      <c r="C36" s="36">
        <f t="shared" si="1"/>
        <v>52</v>
      </c>
      <c r="D36" s="28">
        <f t="shared" si="0"/>
        <v>748.6</v>
      </c>
      <c r="F36" s="36">
        <v>26</v>
      </c>
      <c r="G36" s="36">
        <f t="shared" si="2"/>
        <v>52</v>
      </c>
      <c r="H36" s="32">
        <f t="shared" si="3"/>
        <v>658.4</v>
      </c>
      <c r="J36" s="29">
        <v>26</v>
      </c>
      <c r="K36" s="29">
        <f t="shared" si="4"/>
        <v>52</v>
      </c>
      <c r="L36" s="32">
        <f t="shared" si="5"/>
        <v>670.8</v>
      </c>
      <c r="M36" s="32">
        <f t="shared" si="6"/>
        <v>389.2</v>
      </c>
      <c r="O36" s="26">
        <v>26</v>
      </c>
      <c r="P36" s="27">
        <f t="shared" si="7"/>
        <v>52</v>
      </c>
      <c r="Q36" s="34">
        <f t="shared" si="8"/>
        <v>490</v>
      </c>
    </row>
    <row r="37" spans="2:17" ht="17.25" customHeight="1" x14ac:dyDescent="0.3">
      <c r="B37" s="31">
        <v>26.5</v>
      </c>
      <c r="C37" s="36">
        <f t="shared" si="1"/>
        <v>53</v>
      </c>
      <c r="D37" s="28">
        <f t="shared" si="0"/>
        <v>770.43124999999998</v>
      </c>
      <c r="F37" s="31">
        <v>26.5</v>
      </c>
      <c r="G37" s="31">
        <f t="shared" si="2"/>
        <v>53</v>
      </c>
      <c r="H37" s="32">
        <f t="shared" si="3"/>
        <v>677.41250000000002</v>
      </c>
      <c r="J37" s="36"/>
      <c r="K37" s="36"/>
      <c r="L37" s="32"/>
      <c r="M37" s="32"/>
      <c r="O37" s="27">
        <v>26.5</v>
      </c>
      <c r="P37" s="27">
        <f t="shared" si="7"/>
        <v>53</v>
      </c>
      <c r="Q37" s="28">
        <f t="shared" si="8"/>
        <v>503.75</v>
      </c>
    </row>
    <row r="38" spans="2:17" ht="17.25" customHeight="1" x14ac:dyDescent="0.3">
      <c r="B38" s="31">
        <v>27</v>
      </c>
      <c r="C38" s="36">
        <f t="shared" si="1"/>
        <v>54</v>
      </c>
      <c r="D38" s="28">
        <f t="shared" si="0"/>
        <v>792.26250000000005</v>
      </c>
      <c r="F38" s="31">
        <v>27</v>
      </c>
      <c r="G38" s="31">
        <f t="shared" si="2"/>
        <v>54</v>
      </c>
      <c r="H38" s="32">
        <f t="shared" si="3"/>
        <v>696.42499999999995</v>
      </c>
      <c r="J38" s="29">
        <v>27</v>
      </c>
      <c r="K38" s="29">
        <f t="shared" si="4"/>
        <v>54</v>
      </c>
      <c r="L38" s="32">
        <f t="shared" si="5"/>
        <v>709.59999999999991</v>
      </c>
      <c r="M38" s="32">
        <f t="shared" si="6"/>
        <v>410.4</v>
      </c>
      <c r="O38" s="27">
        <v>27</v>
      </c>
      <c r="P38" s="26">
        <f t="shared" si="7"/>
        <v>54</v>
      </c>
      <c r="Q38" s="28">
        <f t="shared" si="8"/>
        <v>517.5</v>
      </c>
    </row>
    <row r="39" spans="2:17" ht="17.25" customHeight="1" x14ac:dyDescent="0.3">
      <c r="B39" s="31">
        <v>27.5</v>
      </c>
      <c r="C39" s="36">
        <f t="shared" si="1"/>
        <v>55</v>
      </c>
      <c r="D39" s="28">
        <f t="shared" si="0"/>
        <v>814.09375</v>
      </c>
      <c r="F39" s="36">
        <v>27.5</v>
      </c>
      <c r="G39" s="36">
        <f t="shared" si="2"/>
        <v>55</v>
      </c>
      <c r="H39" s="32">
        <f t="shared" si="3"/>
        <v>715.4375</v>
      </c>
      <c r="J39" s="36"/>
      <c r="K39" s="36"/>
      <c r="L39" s="32"/>
      <c r="M39" s="32"/>
      <c r="O39" s="26">
        <v>27.5</v>
      </c>
      <c r="P39" s="27">
        <f t="shared" si="7"/>
        <v>55</v>
      </c>
      <c r="Q39" s="34">
        <f t="shared" si="8"/>
        <v>531.25</v>
      </c>
    </row>
    <row r="40" spans="2:17" ht="17.25" customHeight="1" x14ac:dyDescent="0.3">
      <c r="B40" s="31">
        <v>28</v>
      </c>
      <c r="C40" s="36">
        <f t="shared" si="1"/>
        <v>56</v>
      </c>
      <c r="D40" s="28">
        <f t="shared" si="0"/>
        <v>835.92499999999995</v>
      </c>
      <c r="F40" s="31">
        <v>28</v>
      </c>
      <c r="G40" s="31">
        <f t="shared" si="2"/>
        <v>56</v>
      </c>
      <c r="H40" s="32">
        <f t="shared" si="3"/>
        <v>734.45</v>
      </c>
      <c r="J40" s="29">
        <v>28</v>
      </c>
      <c r="K40" s="29">
        <f t="shared" si="4"/>
        <v>56</v>
      </c>
      <c r="L40" s="32">
        <f t="shared" si="5"/>
        <v>748.4</v>
      </c>
      <c r="M40" s="32">
        <f t="shared" si="6"/>
        <v>431.59999999999997</v>
      </c>
      <c r="O40" s="27">
        <v>28</v>
      </c>
      <c r="P40" s="27">
        <f t="shared" si="7"/>
        <v>56</v>
      </c>
      <c r="Q40" s="28">
        <f t="shared" si="8"/>
        <v>545</v>
      </c>
    </row>
    <row r="41" spans="2:17" ht="17.25" customHeight="1" x14ac:dyDescent="0.3">
      <c r="B41" s="31">
        <v>28.5</v>
      </c>
      <c r="C41" s="36">
        <f t="shared" si="1"/>
        <v>57</v>
      </c>
      <c r="D41" s="28">
        <f t="shared" si="0"/>
        <v>857.75625000000002</v>
      </c>
      <c r="F41" s="31">
        <v>28.5</v>
      </c>
      <c r="G41" s="31">
        <f t="shared" si="2"/>
        <v>57</v>
      </c>
      <c r="H41" s="32">
        <f t="shared" si="3"/>
        <v>753.46249999999998</v>
      </c>
      <c r="J41" s="36"/>
      <c r="K41" s="36"/>
      <c r="L41" s="32"/>
      <c r="M41" s="32"/>
      <c r="O41" s="27">
        <v>28.5</v>
      </c>
      <c r="P41" s="26">
        <f t="shared" si="7"/>
        <v>57</v>
      </c>
      <c r="Q41" s="28">
        <f t="shared" si="8"/>
        <v>558.75</v>
      </c>
    </row>
    <row r="42" spans="2:17" ht="17.25" customHeight="1" x14ac:dyDescent="0.3">
      <c r="B42" s="31">
        <v>29</v>
      </c>
      <c r="C42" s="36">
        <f t="shared" si="1"/>
        <v>58</v>
      </c>
      <c r="D42" s="28">
        <f t="shared" si="0"/>
        <v>879.58749999999998</v>
      </c>
      <c r="F42" s="36">
        <v>29</v>
      </c>
      <c r="G42" s="36">
        <f t="shared" si="2"/>
        <v>58</v>
      </c>
      <c r="H42" s="32">
        <f t="shared" si="3"/>
        <v>772.47500000000002</v>
      </c>
      <c r="J42" s="29">
        <v>29</v>
      </c>
      <c r="K42" s="29">
        <f t="shared" si="4"/>
        <v>58</v>
      </c>
      <c r="L42" s="32">
        <f t="shared" si="5"/>
        <v>787.19999999999993</v>
      </c>
      <c r="M42" s="32">
        <f t="shared" si="6"/>
        <v>452.8</v>
      </c>
      <c r="O42" s="26">
        <v>29</v>
      </c>
      <c r="P42" s="27">
        <f t="shared" si="7"/>
        <v>58</v>
      </c>
      <c r="Q42" s="34">
        <f t="shared" si="8"/>
        <v>572.5</v>
      </c>
    </row>
    <row r="43" spans="2:17" ht="17.25" customHeight="1" x14ac:dyDescent="0.3">
      <c r="B43" s="31">
        <v>29.5</v>
      </c>
      <c r="C43" s="36">
        <f t="shared" si="1"/>
        <v>59</v>
      </c>
      <c r="D43" s="28">
        <f t="shared" si="0"/>
        <v>901.41875000000005</v>
      </c>
      <c r="F43" s="31">
        <v>29.5</v>
      </c>
      <c r="G43" s="31">
        <f t="shared" si="2"/>
        <v>59</v>
      </c>
      <c r="H43" s="32">
        <f t="shared" si="3"/>
        <v>791.48749999999995</v>
      </c>
      <c r="J43" s="36"/>
      <c r="K43" s="36"/>
      <c r="L43" s="32"/>
      <c r="M43" s="32"/>
      <c r="O43" s="27">
        <v>29.5</v>
      </c>
      <c r="P43" s="27">
        <f t="shared" si="7"/>
        <v>59</v>
      </c>
      <c r="Q43" s="28">
        <f t="shared" si="8"/>
        <v>586.25</v>
      </c>
    </row>
    <row r="44" spans="2:17" ht="17.25" customHeight="1" x14ac:dyDescent="0.3">
      <c r="B44" s="31">
        <v>30</v>
      </c>
      <c r="C44" s="36">
        <f t="shared" si="1"/>
        <v>60</v>
      </c>
      <c r="D44" s="28">
        <f t="shared" si="0"/>
        <v>923.25</v>
      </c>
      <c r="F44" s="31">
        <v>30</v>
      </c>
      <c r="G44" s="31">
        <f t="shared" si="2"/>
        <v>60</v>
      </c>
      <c r="H44" s="32">
        <f t="shared" si="3"/>
        <v>810.5</v>
      </c>
      <c r="J44" s="29">
        <v>30</v>
      </c>
      <c r="K44" s="29">
        <f t="shared" si="4"/>
        <v>60</v>
      </c>
      <c r="L44" s="32">
        <f t="shared" si="5"/>
        <v>826</v>
      </c>
      <c r="M44" s="32">
        <f t="shared" si="6"/>
        <v>474</v>
      </c>
      <c r="O44" s="27">
        <v>30</v>
      </c>
      <c r="P44" s="27">
        <f t="shared" si="7"/>
        <v>60</v>
      </c>
      <c r="Q44" s="28">
        <f t="shared" si="8"/>
        <v>600</v>
      </c>
    </row>
    <row r="45" spans="2:17" ht="17.25" customHeight="1" x14ac:dyDescent="0.3">
      <c r="B45" s="31">
        <v>30.5</v>
      </c>
      <c r="C45" s="36">
        <f t="shared" si="1"/>
        <v>61</v>
      </c>
      <c r="D45" s="28">
        <f t="shared" si="0"/>
        <v>945.08124999999995</v>
      </c>
      <c r="F45" s="36">
        <v>30.5</v>
      </c>
      <c r="G45" s="36">
        <f t="shared" si="2"/>
        <v>61</v>
      </c>
      <c r="H45" s="32">
        <f t="shared" si="3"/>
        <v>829.51250000000005</v>
      </c>
      <c r="J45" s="36"/>
      <c r="K45" s="36"/>
      <c r="L45" s="32"/>
      <c r="M45" s="32"/>
      <c r="O45" s="26">
        <v>30.5</v>
      </c>
      <c r="P45" s="27">
        <f t="shared" si="7"/>
        <v>61</v>
      </c>
      <c r="Q45" s="34">
        <f t="shared" si="8"/>
        <v>613.75</v>
      </c>
    </row>
    <row r="46" spans="2:17" ht="17.25" customHeight="1" x14ac:dyDescent="0.3">
      <c r="B46" s="31">
        <v>31</v>
      </c>
      <c r="C46" s="36">
        <f t="shared" si="1"/>
        <v>62</v>
      </c>
      <c r="D46" s="28">
        <f t="shared" si="0"/>
        <v>966.91250000000002</v>
      </c>
      <c r="F46" s="31">
        <v>31</v>
      </c>
      <c r="G46" s="31">
        <f t="shared" si="2"/>
        <v>62</v>
      </c>
      <c r="H46" s="32">
        <f t="shared" si="3"/>
        <v>848.52499999999998</v>
      </c>
      <c r="J46" s="29">
        <v>31</v>
      </c>
      <c r="K46" s="29">
        <f t="shared" si="4"/>
        <v>62</v>
      </c>
      <c r="L46" s="32">
        <f t="shared" si="5"/>
        <v>864.8</v>
      </c>
      <c r="M46" s="32">
        <f t="shared" si="6"/>
        <v>495.2</v>
      </c>
      <c r="O46" s="27">
        <v>31</v>
      </c>
      <c r="P46" s="26">
        <f t="shared" si="7"/>
        <v>62</v>
      </c>
      <c r="Q46" s="28">
        <f t="shared" si="8"/>
        <v>627.5</v>
      </c>
    </row>
    <row r="47" spans="2:17" ht="17.25" customHeight="1" x14ac:dyDescent="0.3">
      <c r="B47" s="31">
        <v>31.5</v>
      </c>
      <c r="C47" s="36">
        <f t="shared" si="1"/>
        <v>63</v>
      </c>
      <c r="D47" s="28">
        <f t="shared" si="0"/>
        <v>988.74374999999998</v>
      </c>
      <c r="F47" s="31">
        <v>31.5</v>
      </c>
      <c r="G47" s="31">
        <f t="shared" si="2"/>
        <v>63</v>
      </c>
      <c r="H47" s="32">
        <f t="shared" si="3"/>
        <v>867.53750000000002</v>
      </c>
      <c r="J47" s="36"/>
      <c r="K47" s="36"/>
      <c r="L47" s="32"/>
      <c r="M47" s="32"/>
      <c r="O47" s="27">
        <v>31.5</v>
      </c>
      <c r="P47" s="27">
        <f t="shared" si="7"/>
        <v>63</v>
      </c>
      <c r="Q47" s="28">
        <f t="shared" si="8"/>
        <v>641.25</v>
      </c>
    </row>
    <row r="48" spans="2:17" ht="17.25" customHeight="1" x14ac:dyDescent="0.3">
      <c r="B48" s="31">
        <v>32</v>
      </c>
      <c r="C48" s="36">
        <f t="shared" si="1"/>
        <v>64</v>
      </c>
      <c r="D48" s="28">
        <f t="shared" si="0"/>
        <v>1010.575</v>
      </c>
      <c r="F48" s="36">
        <v>32</v>
      </c>
      <c r="G48" s="36">
        <f t="shared" si="2"/>
        <v>64</v>
      </c>
      <c r="H48" s="32">
        <f t="shared" si="3"/>
        <v>886.55</v>
      </c>
      <c r="J48" s="29">
        <v>32</v>
      </c>
      <c r="K48" s="29">
        <f t="shared" si="4"/>
        <v>64</v>
      </c>
      <c r="L48" s="32">
        <f t="shared" si="5"/>
        <v>903.59999999999991</v>
      </c>
      <c r="M48" s="32">
        <f t="shared" si="6"/>
        <v>516.4</v>
      </c>
      <c r="O48" s="26">
        <v>32</v>
      </c>
      <c r="P48" s="27">
        <f t="shared" si="7"/>
        <v>64</v>
      </c>
      <c r="Q48" s="34">
        <f t="shared" si="8"/>
        <v>655</v>
      </c>
    </row>
    <row r="49" spans="2:17" ht="17.25" customHeight="1" x14ac:dyDescent="0.3">
      <c r="B49" s="31">
        <v>32.5</v>
      </c>
      <c r="C49" s="36">
        <f t="shared" si="1"/>
        <v>65</v>
      </c>
      <c r="D49" s="28">
        <f t="shared" si="0"/>
        <v>1032.40625</v>
      </c>
      <c r="F49" s="31">
        <v>32.5</v>
      </c>
      <c r="G49" s="31">
        <f t="shared" si="2"/>
        <v>65</v>
      </c>
      <c r="H49" s="32">
        <f t="shared" si="3"/>
        <v>905.5625</v>
      </c>
      <c r="J49" s="36"/>
      <c r="K49" s="36"/>
      <c r="L49" s="32"/>
      <c r="M49" s="32"/>
      <c r="O49" s="27">
        <v>32.5</v>
      </c>
      <c r="P49" s="26">
        <f t="shared" si="7"/>
        <v>65</v>
      </c>
      <c r="Q49" s="28">
        <f t="shared" si="8"/>
        <v>668.75</v>
      </c>
    </row>
    <row r="50" spans="2:17" ht="17.25" customHeight="1" x14ac:dyDescent="0.3">
      <c r="B50" s="31">
        <v>33</v>
      </c>
      <c r="C50" s="36">
        <f t="shared" si="1"/>
        <v>66</v>
      </c>
      <c r="D50" s="28">
        <f t="shared" si="0"/>
        <v>1054.2375</v>
      </c>
      <c r="F50" s="31">
        <v>33</v>
      </c>
      <c r="G50" s="31">
        <f t="shared" si="2"/>
        <v>66</v>
      </c>
      <c r="H50" s="32">
        <f t="shared" si="3"/>
        <v>924.57500000000005</v>
      </c>
      <c r="J50" s="29">
        <v>33</v>
      </c>
      <c r="K50" s="29">
        <f t="shared" si="4"/>
        <v>66</v>
      </c>
      <c r="L50" s="32">
        <f t="shared" si="5"/>
        <v>942.4</v>
      </c>
      <c r="M50" s="32">
        <f t="shared" si="6"/>
        <v>537.59999999999991</v>
      </c>
      <c r="O50" s="27">
        <v>33</v>
      </c>
      <c r="P50" s="27">
        <f t="shared" si="7"/>
        <v>66</v>
      </c>
      <c r="Q50" s="28">
        <f t="shared" si="8"/>
        <v>682.5</v>
      </c>
    </row>
    <row r="51" spans="2:17" ht="17.25" customHeight="1" x14ac:dyDescent="0.3">
      <c r="B51" s="31">
        <v>33.5</v>
      </c>
      <c r="C51" s="36">
        <f t="shared" si="1"/>
        <v>67</v>
      </c>
      <c r="D51" s="28">
        <f t="shared" si="0"/>
        <v>1076.0687499999999</v>
      </c>
      <c r="F51" s="36">
        <v>33.5</v>
      </c>
      <c r="G51" s="36">
        <f t="shared" si="2"/>
        <v>67</v>
      </c>
      <c r="H51" s="32">
        <f t="shared" si="3"/>
        <v>943.58749999999998</v>
      </c>
      <c r="J51" s="36"/>
      <c r="K51" s="36"/>
      <c r="L51" s="32"/>
      <c r="M51" s="32"/>
      <c r="O51" s="26">
        <v>33.5</v>
      </c>
      <c r="P51" s="27">
        <f t="shared" si="7"/>
        <v>67</v>
      </c>
      <c r="Q51" s="34">
        <f t="shared" si="8"/>
        <v>696.25</v>
      </c>
    </row>
    <row r="52" spans="2:17" ht="17.25" customHeight="1" x14ac:dyDescent="0.3">
      <c r="B52" s="31">
        <v>34</v>
      </c>
      <c r="C52" s="36">
        <f t="shared" si="1"/>
        <v>68</v>
      </c>
      <c r="D52" s="28">
        <f t="shared" si="0"/>
        <v>1097.9000000000001</v>
      </c>
      <c r="F52" s="31">
        <v>34</v>
      </c>
      <c r="G52" s="31">
        <f t="shared" si="2"/>
        <v>68</v>
      </c>
      <c r="H52" s="32">
        <f t="shared" si="3"/>
        <v>962.6</v>
      </c>
      <c r="J52" s="29">
        <v>34</v>
      </c>
      <c r="K52" s="29">
        <f t="shared" si="4"/>
        <v>68</v>
      </c>
      <c r="L52" s="32">
        <f t="shared" si="5"/>
        <v>981.19999999999993</v>
      </c>
      <c r="M52" s="32">
        <f t="shared" si="6"/>
        <v>558.79999999999995</v>
      </c>
      <c r="O52" s="27">
        <v>34</v>
      </c>
      <c r="P52" s="27">
        <f t="shared" si="7"/>
        <v>68</v>
      </c>
      <c r="Q52" s="28">
        <f t="shared" si="8"/>
        <v>710</v>
      </c>
    </row>
    <row r="53" spans="2:17" ht="17.25" customHeight="1" x14ac:dyDescent="0.3">
      <c r="B53" s="31">
        <v>34.5</v>
      </c>
      <c r="C53" s="36">
        <f t="shared" si="1"/>
        <v>69</v>
      </c>
      <c r="D53" s="28">
        <f t="shared" si="0"/>
        <v>1119.73125</v>
      </c>
      <c r="F53" s="31">
        <v>34.5</v>
      </c>
      <c r="G53" s="31">
        <f t="shared" si="2"/>
        <v>69</v>
      </c>
      <c r="H53" s="32">
        <f t="shared" si="3"/>
        <v>981.61249999999995</v>
      </c>
      <c r="J53" s="36"/>
      <c r="K53" s="36"/>
      <c r="L53" s="32"/>
      <c r="M53" s="32"/>
      <c r="O53" s="27">
        <v>34.5</v>
      </c>
      <c r="P53" s="27">
        <f t="shared" si="7"/>
        <v>69</v>
      </c>
      <c r="Q53" s="28">
        <f t="shared" si="8"/>
        <v>723.75</v>
      </c>
    </row>
    <row r="54" spans="2:17" ht="17.25" customHeight="1" x14ac:dyDescent="0.3">
      <c r="B54" s="31">
        <v>35</v>
      </c>
      <c r="C54" s="36">
        <f t="shared" si="1"/>
        <v>70</v>
      </c>
      <c r="D54" s="28">
        <f t="shared" si="0"/>
        <v>1141.5625</v>
      </c>
      <c r="F54" s="36">
        <v>35</v>
      </c>
      <c r="G54" s="36">
        <f t="shared" si="2"/>
        <v>70</v>
      </c>
      <c r="H54" s="32">
        <f t="shared" si="3"/>
        <v>1000.625</v>
      </c>
      <c r="J54" s="29">
        <v>35</v>
      </c>
      <c r="K54" s="29">
        <f t="shared" si="4"/>
        <v>70</v>
      </c>
      <c r="L54" s="32">
        <f t="shared" si="5"/>
        <v>1019.9999999999999</v>
      </c>
      <c r="M54" s="32">
        <f t="shared" si="6"/>
        <v>580</v>
      </c>
      <c r="O54" s="26">
        <v>35</v>
      </c>
      <c r="P54" s="26">
        <f t="shared" si="7"/>
        <v>70</v>
      </c>
      <c r="Q54" s="34">
        <f t="shared" si="8"/>
        <v>737.5</v>
      </c>
    </row>
    <row r="55" spans="2:17" ht="17.25" customHeight="1" x14ac:dyDescent="0.3">
      <c r="B55" s="31">
        <v>35.5</v>
      </c>
      <c r="C55" s="36">
        <f t="shared" si="1"/>
        <v>71</v>
      </c>
      <c r="D55" s="28">
        <f t="shared" si="0"/>
        <v>1163.39375</v>
      </c>
      <c r="F55" s="31">
        <v>35.5</v>
      </c>
      <c r="G55" s="31">
        <f t="shared" si="2"/>
        <v>71</v>
      </c>
      <c r="H55" s="32">
        <f t="shared" si="3"/>
        <v>1019.6375</v>
      </c>
      <c r="J55" s="36"/>
      <c r="K55" s="36"/>
      <c r="L55" s="32"/>
      <c r="M55" s="32"/>
      <c r="O55" s="27">
        <v>35.5</v>
      </c>
      <c r="P55" s="27">
        <f t="shared" si="7"/>
        <v>71</v>
      </c>
      <c r="Q55" s="28">
        <f t="shared" si="8"/>
        <v>751.25</v>
      </c>
    </row>
    <row r="56" spans="2:17" ht="17.25" customHeight="1" x14ac:dyDescent="0.3">
      <c r="B56" s="31">
        <v>36</v>
      </c>
      <c r="C56" s="36">
        <f t="shared" si="1"/>
        <v>72</v>
      </c>
      <c r="D56" s="28">
        <f t="shared" si="0"/>
        <v>1185.2249999999999</v>
      </c>
      <c r="F56" s="31">
        <v>36</v>
      </c>
      <c r="G56" s="31">
        <f t="shared" si="2"/>
        <v>72</v>
      </c>
      <c r="H56" s="32">
        <f t="shared" si="3"/>
        <v>1038.6500000000001</v>
      </c>
      <c r="J56" s="29">
        <v>36</v>
      </c>
      <c r="K56" s="29">
        <f t="shared" si="4"/>
        <v>72</v>
      </c>
      <c r="L56" s="32">
        <f t="shared" si="5"/>
        <v>1058.8</v>
      </c>
      <c r="M56" s="32">
        <f t="shared" si="6"/>
        <v>601.19999999999993</v>
      </c>
      <c r="O56" s="27">
        <v>36</v>
      </c>
      <c r="P56" s="27">
        <f t="shared" si="7"/>
        <v>72</v>
      </c>
      <c r="Q56" s="28">
        <f t="shared" si="8"/>
        <v>765</v>
      </c>
    </row>
    <row r="57" spans="2:17" ht="17.25" customHeight="1" x14ac:dyDescent="0.3">
      <c r="B57" s="31">
        <v>36.5</v>
      </c>
      <c r="C57" s="36">
        <f t="shared" si="1"/>
        <v>73</v>
      </c>
      <c r="D57" s="28">
        <f t="shared" si="0"/>
        <v>1207.0562500000001</v>
      </c>
      <c r="F57" s="36">
        <v>36.5</v>
      </c>
      <c r="G57" s="36">
        <f t="shared" si="2"/>
        <v>73</v>
      </c>
      <c r="H57" s="32">
        <f t="shared" si="3"/>
        <v>1057.6624999999999</v>
      </c>
      <c r="J57" s="36"/>
      <c r="K57" s="36"/>
      <c r="L57" s="32"/>
      <c r="M57" s="32"/>
      <c r="O57" s="26">
        <v>36.5</v>
      </c>
      <c r="P57" s="26">
        <f t="shared" si="7"/>
        <v>73</v>
      </c>
      <c r="Q57" s="34">
        <f t="shared" si="8"/>
        <v>778.75</v>
      </c>
    </row>
    <row r="58" spans="2:17" ht="17.25" customHeight="1" x14ac:dyDescent="0.3">
      <c r="B58" s="31">
        <v>37</v>
      </c>
      <c r="C58" s="36">
        <f t="shared" si="1"/>
        <v>74</v>
      </c>
      <c r="D58" s="28">
        <f t="shared" si="0"/>
        <v>1228.8875</v>
      </c>
      <c r="F58" s="31">
        <v>37</v>
      </c>
      <c r="G58" s="31">
        <f t="shared" si="2"/>
        <v>74</v>
      </c>
      <c r="H58" s="32">
        <f t="shared" si="3"/>
        <v>1076.675</v>
      </c>
      <c r="J58" s="29">
        <v>37</v>
      </c>
      <c r="K58" s="29">
        <f t="shared" si="4"/>
        <v>74</v>
      </c>
      <c r="L58" s="32">
        <f t="shared" si="5"/>
        <v>1097.5999999999999</v>
      </c>
      <c r="M58" s="32">
        <f t="shared" si="6"/>
        <v>622.4</v>
      </c>
      <c r="O58" s="27">
        <v>37</v>
      </c>
      <c r="P58" s="27">
        <f t="shared" si="7"/>
        <v>74</v>
      </c>
      <c r="Q58" s="28">
        <f t="shared" si="8"/>
        <v>792.5</v>
      </c>
    </row>
    <row r="59" spans="2:17" ht="17.25" customHeight="1" x14ac:dyDescent="0.3">
      <c r="B59" s="31">
        <v>37.5</v>
      </c>
      <c r="C59" s="36">
        <f t="shared" si="1"/>
        <v>75</v>
      </c>
      <c r="D59" s="28">
        <f t="shared" si="0"/>
        <v>1250.71875</v>
      </c>
      <c r="F59" s="31">
        <v>37.5</v>
      </c>
      <c r="G59" s="31">
        <f t="shared" si="2"/>
        <v>75</v>
      </c>
      <c r="H59" s="32">
        <f t="shared" si="3"/>
        <v>1095.6875</v>
      </c>
      <c r="J59" s="36"/>
      <c r="K59" s="36"/>
      <c r="L59" s="32"/>
      <c r="M59" s="32"/>
      <c r="O59" s="27">
        <v>37.5</v>
      </c>
      <c r="P59" s="27">
        <f t="shared" si="7"/>
        <v>75</v>
      </c>
      <c r="Q59" s="28">
        <f t="shared" si="8"/>
        <v>806.25</v>
      </c>
    </row>
    <row r="60" spans="2:17" ht="17.25" customHeight="1" x14ac:dyDescent="0.3">
      <c r="B60" s="31">
        <v>38</v>
      </c>
      <c r="C60" s="36">
        <f t="shared" si="1"/>
        <v>76</v>
      </c>
      <c r="D60" s="28">
        <f t="shared" si="0"/>
        <v>1272.55</v>
      </c>
      <c r="F60" s="36">
        <v>38</v>
      </c>
      <c r="G60" s="36">
        <f t="shared" si="2"/>
        <v>76</v>
      </c>
      <c r="H60" s="32">
        <f t="shared" si="3"/>
        <v>1114.7</v>
      </c>
      <c r="J60" s="29">
        <v>38</v>
      </c>
      <c r="K60" s="29">
        <f t="shared" si="4"/>
        <v>76</v>
      </c>
      <c r="L60" s="32">
        <f t="shared" si="5"/>
        <v>1136.3999999999999</v>
      </c>
      <c r="M60" s="32">
        <f t="shared" si="6"/>
        <v>643.6</v>
      </c>
      <c r="O60" s="26">
        <v>38</v>
      </c>
      <c r="P60" s="27">
        <f t="shared" si="7"/>
        <v>76</v>
      </c>
      <c r="Q60" s="34">
        <f t="shared" si="8"/>
        <v>820</v>
      </c>
    </row>
    <row r="61" spans="2:17" ht="17.25" customHeight="1" x14ac:dyDescent="0.3">
      <c r="B61" s="31">
        <v>38.5</v>
      </c>
      <c r="C61" s="36">
        <f t="shared" si="1"/>
        <v>77</v>
      </c>
      <c r="D61" s="28">
        <f t="shared" si="0"/>
        <v>1294.3812499999999</v>
      </c>
      <c r="F61" s="31">
        <v>38.5</v>
      </c>
      <c r="G61" s="31">
        <f t="shared" si="2"/>
        <v>77</v>
      </c>
      <c r="H61" s="32">
        <f t="shared" si="3"/>
        <v>1133.7125000000001</v>
      </c>
      <c r="J61" s="36"/>
      <c r="K61" s="36"/>
      <c r="L61" s="32"/>
      <c r="M61" s="32"/>
      <c r="O61" s="27">
        <v>38.5</v>
      </c>
      <c r="P61" s="27">
        <f t="shared" si="7"/>
        <v>77</v>
      </c>
      <c r="Q61" s="28">
        <f t="shared" si="8"/>
        <v>833.75</v>
      </c>
    </row>
    <row r="62" spans="2:17" ht="17.25" customHeight="1" x14ac:dyDescent="0.3">
      <c r="B62" s="31">
        <v>39</v>
      </c>
      <c r="C62" s="36">
        <f t="shared" si="1"/>
        <v>78</v>
      </c>
      <c r="D62" s="28">
        <f t="shared" si="0"/>
        <v>1316.2125000000001</v>
      </c>
      <c r="F62" s="31">
        <v>39</v>
      </c>
      <c r="G62" s="31">
        <f t="shared" si="2"/>
        <v>78</v>
      </c>
      <c r="H62" s="32">
        <f t="shared" si="3"/>
        <v>1152.7249999999999</v>
      </c>
      <c r="J62" s="29">
        <v>39</v>
      </c>
      <c r="K62" s="29">
        <f t="shared" si="4"/>
        <v>78</v>
      </c>
      <c r="L62" s="32">
        <f t="shared" si="5"/>
        <v>1175.1999999999998</v>
      </c>
      <c r="M62" s="32">
        <f t="shared" si="6"/>
        <v>664.8</v>
      </c>
      <c r="O62" s="27">
        <v>39</v>
      </c>
      <c r="P62" s="26">
        <f t="shared" si="7"/>
        <v>78</v>
      </c>
      <c r="Q62" s="28">
        <f t="shared" si="8"/>
        <v>847.5</v>
      </c>
    </row>
    <row r="63" spans="2:17" ht="17.25" customHeight="1" x14ac:dyDescent="0.3">
      <c r="B63" s="31">
        <v>39.5</v>
      </c>
      <c r="C63" s="36">
        <f t="shared" si="1"/>
        <v>79</v>
      </c>
      <c r="D63" s="28">
        <f t="shared" si="0"/>
        <v>1338.04375</v>
      </c>
      <c r="F63" s="36">
        <v>39.5</v>
      </c>
      <c r="G63" s="36">
        <f t="shared" si="2"/>
        <v>79</v>
      </c>
      <c r="H63" s="32">
        <f t="shared" si="3"/>
        <v>1171.7375</v>
      </c>
      <c r="J63" s="36"/>
      <c r="K63" s="36"/>
      <c r="L63" s="32"/>
      <c r="M63" s="32"/>
      <c r="O63" s="26">
        <v>39.5</v>
      </c>
      <c r="P63" s="27">
        <f t="shared" si="7"/>
        <v>79</v>
      </c>
      <c r="Q63" s="34">
        <f t="shared" si="8"/>
        <v>861.25</v>
      </c>
    </row>
    <row r="64" spans="2:17" ht="17.25" customHeight="1" x14ac:dyDescent="0.3">
      <c r="B64" s="31">
        <v>40</v>
      </c>
      <c r="C64" s="36">
        <f t="shared" si="1"/>
        <v>80</v>
      </c>
      <c r="D64" s="28">
        <f t="shared" si="0"/>
        <v>1359.875</v>
      </c>
      <c r="F64" s="31">
        <v>40</v>
      </c>
      <c r="G64" s="31">
        <f t="shared" si="2"/>
        <v>80</v>
      </c>
      <c r="H64" s="32">
        <f t="shared" si="3"/>
        <v>1190.75</v>
      </c>
      <c r="J64" s="29">
        <v>40</v>
      </c>
      <c r="K64" s="29">
        <f t="shared" si="4"/>
        <v>80</v>
      </c>
      <c r="L64" s="32">
        <f t="shared" si="5"/>
        <v>1214</v>
      </c>
      <c r="M64" s="32">
        <f t="shared" si="6"/>
        <v>686</v>
      </c>
      <c r="O64" s="27">
        <v>40</v>
      </c>
      <c r="P64" s="27">
        <f t="shared" si="7"/>
        <v>80</v>
      </c>
      <c r="Q64" s="28">
        <f t="shared" si="8"/>
        <v>875</v>
      </c>
    </row>
    <row r="65" spans="2:17" ht="17.25" customHeight="1" x14ac:dyDescent="0.3">
      <c r="B65" s="31">
        <v>40.5</v>
      </c>
      <c r="C65" s="36">
        <f t="shared" si="1"/>
        <v>81</v>
      </c>
      <c r="D65" s="28">
        <f t="shared" si="0"/>
        <v>1381.70625</v>
      </c>
      <c r="F65" s="31">
        <v>40.5</v>
      </c>
      <c r="G65" s="31">
        <f t="shared" si="2"/>
        <v>81</v>
      </c>
      <c r="H65" s="32">
        <f t="shared" si="3"/>
        <v>1209.7625</v>
      </c>
      <c r="J65" s="36"/>
      <c r="K65" s="36"/>
      <c r="L65" s="32"/>
      <c r="M65" s="32"/>
      <c r="O65" s="27">
        <v>40.5</v>
      </c>
      <c r="P65" s="26">
        <f t="shared" si="7"/>
        <v>81</v>
      </c>
      <c r="Q65" s="28">
        <f t="shared" si="8"/>
        <v>888.75</v>
      </c>
    </row>
    <row r="66" spans="2:17" ht="17.25" customHeight="1" x14ac:dyDescent="0.3">
      <c r="B66" s="31">
        <v>41</v>
      </c>
      <c r="C66" s="36">
        <f t="shared" si="1"/>
        <v>82</v>
      </c>
      <c r="D66" s="28">
        <f t="shared" si="0"/>
        <v>1403.5374999999999</v>
      </c>
      <c r="F66" s="36">
        <v>41</v>
      </c>
      <c r="G66" s="36">
        <f t="shared" si="2"/>
        <v>82</v>
      </c>
      <c r="H66" s="32">
        <f t="shared" si="3"/>
        <v>1228.7750000000001</v>
      </c>
      <c r="J66" s="29">
        <v>41</v>
      </c>
      <c r="K66" s="29">
        <f t="shared" si="4"/>
        <v>82</v>
      </c>
      <c r="L66" s="32">
        <f t="shared" si="5"/>
        <v>1252.8</v>
      </c>
      <c r="M66" s="32">
        <f t="shared" si="6"/>
        <v>707.19999999999993</v>
      </c>
      <c r="O66" s="26">
        <v>41</v>
      </c>
      <c r="P66" s="27">
        <f t="shared" si="7"/>
        <v>82</v>
      </c>
      <c r="Q66" s="34">
        <f t="shared" si="8"/>
        <v>902.5</v>
      </c>
    </row>
    <row r="67" spans="2:17" ht="17.25" customHeight="1" x14ac:dyDescent="0.3">
      <c r="B67" s="31">
        <v>41.5</v>
      </c>
      <c r="C67" s="36">
        <f t="shared" si="1"/>
        <v>83</v>
      </c>
      <c r="D67" s="28">
        <f t="shared" si="0"/>
        <v>1425.3687500000001</v>
      </c>
      <c r="F67" s="31">
        <v>41.5</v>
      </c>
      <c r="G67" s="31">
        <f t="shared" si="2"/>
        <v>83</v>
      </c>
      <c r="H67" s="32">
        <f t="shared" si="3"/>
        <v>1247.7874999999999</v>
      </c>
      <c r="J67" s="36"/>
      <c r="K67" s="36"/>
      <c r="L67" s="32"/>
      <c r="M67" s="32"/>
      <c r="O67" s="27">
        <v>41.5</v>
      </c>
      <c r="P67" s="27">
        <f t="shared" si="7"/>
        <v>83</v>
      </c>
      <c r="Q67" s="28">
        <f t="shared" si="8"/>
        <v>916.25</v>
      </c>
    </row>
    <row r="68" spans="2:17" ht="17.25" customHeight="1" x14ac:dyDescent="0.3">
      <c r="B68" s="31">
        <v>42</v>
      </c>
      <c r="C68" s="36">
        <f t="shared" si="1"/>
        <v>84</v>
      </c>
      <c r="D68" s="28">
        <f t="shared" si="0"/>
        <v>1447.2</v>
      </c>
      <c r="F68" s="31">
        <v>42</v>
      </c>
      <c r="G68" s="31">
        <f t="shared" si="2"/>
        <v>84</v>
      </c>
      <c r="H68" s="32">
        <f t="shared" si="3"/>
        <v>1266.8</v>
      </c>
      <c r="J68" s="29">
        <v>42</v>
      </c>
      <c r="K68" s="29">
        <f t="shared" si="4"/>
        <v>84</v>
      </c>
      <c r="L68" s="32">
        <f t="shared" si="5"/>
        <v>1291.5999999999999</v>
      </c>
      <c r="M68" s="32">
        <f t="shared" si="6"/>
        <v>728.4</v>
      </c>
      <c r="O68" s="27">
        <v>42</v>
      </c>
      <c r="P68" s="27">
        <f t="shared" si="7"/>
        <v>84</v>
      </c>
      <c r="Q68" s="28">
        <f t="shared" si="8"/>
        <v>930</v>
      </c>
    </row>
    <row r="69" spans="2:17" ht="17.25" customHeight="1" x14ac:dyDescent="0.3">
      <c r="B69" s="31">
        <v>42.5</v>
      </c>
      <c r="C69" s="36">
        <f t="shared" si="1"/>
        <v>85</v>
      </c>
      <c r="D69" s="28">
        <f t="shared" ref="D69:D132" si="9">($D$3*($C69-20)/160)+50</f>
        <v>1469.03125</v>
      </c>
      <c r="F69" s="36">
        <v>42.5</v>
      </c>
      <c r="G69" s="36">
        <f t="shared" si="2"/>
        <v>85</v>
      </c>
      <c r="H69" s="32">
        <f t="shared" si="3"/>
        <v>1285.8125</v>
      </c>
      <c r="J69" s="36"/>
      <c r="K69" s="36"/>
      <c r="L69" s="32"/>
      <c r="M69" s="32"/>
      <c r="O69" s="26">
        <v>42.5</v>
      </c>
      <c r="P69" s="27">
        <f t="shared" si="7"/>
        <v>85</v>
      </c>
      <c r="Q69" s="34">
        <f t="shared" si="8"/>
        <v>943.75</v>
      </c>
    </row>
    <row r="70" spans="2:17" ht="17.25" customHeight="1" x14ac:dyDescent="0.3">
      <c r="B70" s="31">
        <v>43</v>
      </c>
      <c r="C70" s="36">
        <f t="shared" si="1"/>
        <v>86</v>
      </c>
      <c r="D70" s="28">
        <f t="shared" si="9"/>
        <v>1490.8625</v>
      </c>
      <c r="F70" s="31">
        <v>43</v>
      </c>
      <c r="G70" s="31">
        <f t="shared" si="2"/>
        <v>86</v>
      </c>
      <c r="H70" s="32">
        <f t="shared" si="3"/>
        <v>1304.825</v>
      </c>
      <c r="J70" s="29">
        <v>43</v>
      </c>
      <c r="K70" s="29">
        <f t="shared" si="4"/>
        <v>86</v>
      </c>
      <c r="L70" s="32">
        <f t="shared" si="5"/>
        <v>1330.3999999999999</v>
      </c>
      <c r="M70" s="32">
        <f t="shared" si="6"/>
        <v>749.6</v>
      </c>
      <c r="O70" s="27">
        <v>43</v>
      </c>
      <c r="P70" s="26">
        <f t="shared" si="7"/>
        <v>86</v>
      </c>
      <c r="Q70" s="28">
        <f t="shared" si="8"/>
        <v>957.5</v>
      </c>
    </row>
    <row r="71" spans="2:17" ht="17.25" customHeight="1" x14ac:dyDescent="0.3">
      <c r="B71" s="31">
        <v>43.5</v>
      </c>
      <c r="C71" s="36">
        <f t="shared" si="1"/>
        <v>87</v>
      </c>
      <c r="D71" s="28">
        <f t="shared" si="9"/>
        <v>1512.6937499999999</v>
      </c>
      <c r="F71" s="31">
        <v>43.5</v>
      </c>
      <c r="G71" s="31">
        <f t="shared" si="2"/>
        <v>87</v>
      </c>
      <c r="H71" s="32">
        <f t="shared" si="3"/>
        <v>1323.8375000000001</v>
      </c>
      <c r="J71" s="36"/>
      <c r="K71" s="36"/>
      <c r="L71" s="32"/>
      <c r="M71" s="32"/>
      <c r="O71" s="27">
        <v>43.5</v>
      </c>
      <c r="P71" s="27">
        <f t="shared" si="7"/>
        <v>87</v>
      </c>
      <c r="Q71" s="28">
        <f t="shared" ref="Q71:Q134" si="10">(2200*(P71-20)/160)+50</f>
        <v>971.25</v>
      </c>
    </row>
    <row r="72" spans="2:17" ht="17.25" customHeight="1" x14ac:dyDescent="0.3">
      <c r="B72" s="31">
        <v>44</v>
      </c>
      <c r="C72" s="36">
        <f t="shared" si="1"/>
        <v>88</v>
      </c>
      <c r="D72" s="28">
        <f t="shared" si="9"/>
        <v>1534.5250000000001</v>
      </c>
      <c r="F72" s="36">
        <v>44</v>
      </c>
      <c r="G72" s="36">
        <f t="shared" si="2"/>
        <v>88</v>
      </c>
      <c r="H72" s="32">
        <f t="shared" si="3"/>
        <v>1342.85</v>
      </c>
      <c r="J72" s="29">
        <v>44</v>
      </c>
      <c r="K72" s="29">
        <f t="shared" si="4"/>
        <v>88</v>
      </c>
      <c r="L72" s="32">
        <f t="shared" si="5"/>
        <v>1369.1999999999998</v>
      </c>
      <c r="M72" s="32">
        <f t="shared" si="6"/>
        <v>770.8</v>
      </c>
      <c r="O72" s="26">
        <v>44</v>
      </c>
      <c r="P72" s="27">
        <f t="shared" si="7"/>
        <v>88</v>
      </c>
      <c r="Q72" s="34">
        <f t="shared" si="10"/>
        <v>985</v>
      </c>
    </row>
    <row r="73" spans="2:17" ht="17.25" customHeight="1" x14ac:dyDescent="0.3">
      <c r="B73" s="31">
        <v>44.5</v>
      </c>
      <c r="C73" s="36">
        <f t="shared" si="1"/>
        <v>89</v>
      </c>
      <c r="D73" s="28">
        <f t="shared" si="9"/>
        <v>1556.35625</v>
      </c>
      <c r="F73" s="31">
        <v>44.5</v>
      </c>
      <c r="G73" s="31">
        <f t="shared" si="2"/>
        <v>89</v>
      </c>
      <c r="H73" s="32">
        <f t="shared" si="3"/>
        <v>1361.8625</v>
      </c>
      <c r="J73" s="36"/>
      <c r="K73" s="36"/>
      <c r="L73" s="32"/>
      <c r="M73" s="32"/>
      <c r="O73" s="27">
        <v>44.5</v>
      </c>
      <c r="P73" s="26">
        <f t="shared" si="7"/>
        <v>89</v>
      </c>
      <c r="Q73" s="28">
        <f t="shared" si="10"/>
        <v>998.75</v>
      </c>
    </row>
    <row r="74" spans="2:17" ht="17.25" customHeight="1" x14ac:dyDescent="0.3">
      <c r="B74" s="31">
        <v>45</v>
      </c>
      <c r="C74" s="36">
        <f t="shared" si="1"/>
        <v>90</v>
      </c>
      <c r="D74" s="28">
        <f t="shared" si="9"/>
        <v>1578.1875</v>
      </c>
      <c r="F74" s="31">
        <v>45</v>
      </c>
      <c r="G74" s="31">
        <f t="shared" si="2"/>
        <v>90</v>
      </c>
      <c r="H74" s="32">
        <f t="shared" si="3"/>
        <v>1380.875</v>
      </c>
      <c r="J74" s="29">
        <v>45</v>
      </c>
      <c r="K74" s="29">
        <f t="shared" si="4"/>
        <v>90</v>
      </c>
      <c r="L74" s="32">
        <f t="shared" si="5"/>
        <v>1408</v>
      </c>
      <c r="M74" s="32">
        <f t="shared" si="6"/>
        <v>792</v>
      </c>
      <c r="O74" s="27">
        <v>45</v>
      </c>
      <c r="P74" s="27">
        <f t="shared" si="7"/>
        <v>90</v>
      </c>
      <c r="Q74" s="28">
        <f t="shared" si="10"/>
        <v>1012.5</v>
      </c>
    </row>
    <row r="75" spans="2:17" ht="17.25" customHeight="1" x14ac:dyDescent="0.3">
      <c r="B75" s="31">
        <v>45.5</v>
      </c>
      <c r="C75" s="36">
        <f t="shared" si="1"/>
        <v>91</v>
      </c>
      <c r="D75" s="28">
        <f t="shared" si="9"/>
        <v>1600.01875</v>
      </c>
      <c r="F75" s="36">
        <v>45.5</v>
      </c>
      <c r="G75" s="36">
        <f t="shared" si="2"/>
        <v>91</v>
      </c>
      <c r="H75" s="32">
        <f t="shared" si="3"/>
        <v>1399.8875</v>
      </c>
      <c r="J75" s="36"/>
      <c r="K75" s="36"/>
      <c r="L75" s="32"/>
      <c r="M75" s="32"/>
      <c r="O75" s="26">
        <v>45.5</v>
      </c>
      <c r="P75" s="27">
        <f t="shared" si="7"/>
        <v>91</v>
      </c>
      <c r="Q75" s="34">
        <f t="shared" si="10"/>
        <v>1026.25</v>
      </c>
    </row>
    <row r="76" spans="2:17" ht="17.25" customHeight="1" x14ac:dyDescent="0.3">
      <c r="B76" s="31">
        <v>46</v>
      </c>
      <c r="C76" s="36">
        <f t="shared" si="1"/>
        <v>92</v>
      </c>
      <c r="D76" s="28">
        <f t="shared" si="9"/>
        <v>1621.85</v>
      </c>
      <c r="F76" s="31">
        <v>46</v>
      </c>
      <c r="G76" s="31">
        <f t="shared" si="2"/>
        <v>92</v>
      </c>
      <c r="H76" s="32">
        <f t="shared" si="3"/>
        <v>1418.9</v>
      </c>
      <c r="J76" s="29">
        <v>46</v>
      </c>
      <c r="K76" s="29">
        <f t="shared" si="4"/>
        <v>92</v>
      </c>
      <c r="L76" s="32">
        <f t="shared" si="5"/>
        <v>1446.8</v>
      </c>
      <c r="M76" s="32">
        <f t="shared" si="6"/>
        <v>813.19999999999993</v>
      </c>
      <c r="O76" s="27">
        <v>46</v>
      </c>
      <c r="P76" s="27">
        <f t="shared" si="7"/>
        <v>92</v>
      </c>
      <c r="Q76" s="28">
        <f t="shared" si="10"/>
        <v>1040</v>
      </c>
    </row>
    <row r="77" spans="2:17" ht="17.25" customHeight="1" x14ac:dyDescent="0.3">
      <c r="B77" s="31">
        <v>46.5</v>
      </c>
      <c r="C77" s="36">
        <f t="shared" si="1"/>
        <v>93</v>
      </c>
      <c r="D77" s="28">
        <f t="shared" si="9"/>
        <v>1643.6812500000001</v>
      </c>
      <c r="F77" s="31">
        <v>46.5</v>
      </c>
      <c r="G77" s="31">
        <f t="shared" si="2"/>
        <v>93</v>
      </c>
      <c r="H77" s="32">
        <f t="shared" si="3"/>
        <v>1437.9124999999999</v>
      </c>
      <c r="J77" s="36"/>
      <c r="K77" s="36"/>
      <c r="L77" s="32"/>
      <c r="M77" s="32"/>
      <c r="O77" s="27">
        <v>46.5</v>
      </c>
      <c r="P77" s="27">
        <f t="shared" si="7"/>
        <v>93</v>
      </c>
      <c r="Q77" s="28">
        <f t="shared" si="10"/>
        <v>1053.75</v>
      </c>
    </row>
    <row r="78" spans="2:17" ht="17.25" customHeight="1" x14ac:dyDescent="0.3">
      <c r="B78" s="31">
        <v>47</v>
      </c>
      <c r="C78" s="36">
        <f t="shared" si="1"/>
        <v>94</v>
      </c>
      <c r="D78" s="28">
        <f t="shared" si="9"/>
        <v>1665.5125</v>
      </c>
      <c r="F78" s="36">
        <v>47</v>
      </c>
      <c r="G78" s="36">
        <f t="shared" si="2"/>
        <v>94</v>
      </c>
      <c r="H78" s="32">
        <f t="shared" si="3"/>
        <v>1456.925</v>
      </c>
      <c r="J78" s="29">
        <v>47</v>
      </c>
      <c r="K78" s="29">
        <f t="shared" si="4"/>
        <v>94</v>
      </c>
      <c r="L78" s="32">
        <f t="shared" si="5"/>
        <v>1485.6</v>
      </c>
      <c r="M78" s="32">
        <f t="shared" si="6"/>
        <v>834.4</v>
      </c>
      <c r="O78" s="26">
        <v>47</v>
      </c>
      <c r="P78" s="26">
        <f t="shared" si="7"/>
        <v>94</v>
      </c>
      <c r="Q78" s="34">
        <f t="shared" si="10"/>
        <v>1067.5</v>
      </c>
    </row>
    <row r="79" spans="2:17" ht="17.25" customHeight="1" x14ac:dyDescent="0.3">
      <c r="B79" s="31">
        <v>47.5</v>
      </c>
      <c r="C79" s="36">
        <f t="shared" si="1"/>
        <v>95</v>
      </c>
      <c r="D79" s="28">
        <f t="shared" si="9"/>
        <v>1687.34375</v>
      </c>
      <c r="F79" s="31">
        <v>47.5</v>
      </c>
      <c r="G79" s="31">
        <f t="shared" si="2"/>
        <v>95</v>
      </c>
      <c r="H79" s="32">
        <f t="shared" si="3"/>
        <v>1475.9375</v>
      </c>
      <c r="J79" s="36"/>
      <c r="K79" s="36"/>
      <c r="L79" s="32"/>
      <c r="M79" s="32"/>
      <c r="O79" s="27">
        <v>47.5</v>
      </c>
      <c r="P79" s="27">
        <f t="shared" si="7"/>
        <v>95</v>
      </c>
      <c r="Q79" s="28">
        <f t="shared" si="10"/>
        <v>1081.25</v>
      </c>
    </row>
    <row r="80" spans="2:17" ht="17.25" customHeight="1" x14ac:dyDescent="0.3">
      <c r="B80" s="31">
        <v>48</v>
      </c>
      <c r="C80" s="36">
        <f t="shared" si="1"/>
        <v>96</v>
      </c>
      <c r="D80" s="28">
        <f t="shared" si="9"/>
        <v>1709.175</v>
      </c>
      <c r="F80" s="31">
        <v>48</v>
      </c>
      <c r="G80" s="31">
        <f t="shared" si="2"/>
        <v>96</v>
      </c>
      <c r="H80" s="32">
        <f t="shared" si="3"/>
        <v>1494.95</v>
      </c>
      <c r="J80" s="29">
        <v>48</v>
      </c>
      <c r="K80" s="29">
        <f t="shared" si="4"/>
        <v>96</v>
      </c>
      <c r="L80" s="32">
        <f t="shared" si="5"/>
        <v>1524.3999999999999</v>
      </c>
      <c r="M80" s="32">
        <f t="shared" si="6"/>
        <v>855.6</v>
      </c>
      <c r="O80" s="27">
        <v>48</v>
      </c>
      <c r="P80" s="27">
        <f t="shared" si="7"/>
        <v>96</v>
      </c>
      <c r="Q80" s="28">
        <f t="shared" si="10"/>
        <v>1095</v>
      </c>
    </row>
    <row r="81" spans="2:17" ht="17.25" customHeight="1" x14ac:dyDescent="0.3">
      <c r="B81" s="31">
        <v>48.5</v>
      </c>
      <c r="C81" s="36">
        <f t="shared" si="1"/>
        <v>97</v>
      </c>
      <c r="D81" s="28">
        <f t="shared" si="9"/>
        <v>1731.0062499999999</v>
      </c>
      <c r="F81" s="36">
        <v>48.5</v>
      </c>
      <c r="G81" s="36">
        <f t="shared" si="2"/>
        <v>97</v>
      </c>
      <c r="H81" s="32">
        <f t="shared" si="3"/>
        <v>1513.9625000000001</v>
      </c>
      <c r="J81" s="36"/>
      <c r="K81" s="36"/>
      <c r="L81" s="32"/>
      <c r="M81" s="32"/>
      <c r="O81" s="26">
        <v>48.5</v>
      </c>
      <c r="P81" s="26">
        <f t="shared" si="7"/>
        <v>97</v>
      </c>
      <c r="Q81" s="34">
        <f t="shared" si="10"/>
        <v>1108.75</v>
      </c>
    </row>
    <row r="82" spans="2:17" ht="17.25" customHeight="1" x14ac:dyDescent="0.3">
      <c r="B82" s="31">
        <v>49</v>
      </c>
      <c r="C82" s="36">
        <f t="shared" si="1"/>
        <v>98</v>
      </c>
      <c r="D82" s="28">
        <f t="shared" si="9"/>
        <v>1752.8375000000001</v>
      </c>
      <c r="F82" s="31">
        <v>49</v>
      </c>
      <c r="G82" s="31">
        <f t="shared" si="2"/>
        <v>98</v>
      </c>
      <c r="H82" s="32">
        <f t="shared" si="3"/>
        <v>1532.9749999999999</v>
      </c>
      <c r="J82" s="29">
        <v>49</v>
      </c>
      <c r="K82" s="29">
        <f t="shared" si="4"/>
        <v>98</v>
      </c>
      <c r="L82" s="32">
        <f t="shared" si="5"/>
        <v>1563.1999999999998</v>
      </c>
      <c r="M82" s="32">
        <f t="shared" si="6"/>
        <v>876.8</v>
      </c>
      <c r="O82" s="27">
        <v>49</v>
      </c>
      <c r="P82" s="27">
        <f t="shared" si="7"/>
        <v>98</v>
      </c>
      <c r="Q82" s="28">
        <f t="shared" si="10"/>
        <v>1122.5</v>
      </c>
    </row>
    <row r="83" spans="2:17" ht="17.25" customHeight="1" x14ac:dyDescent="0.3">
      <c r="B83" s="31">
        <v>49.5</v>
      </c>
      <c r="C83" s="36">
        <f t="shared" si="1"/>
        <v>99</v>
      </c>
      <c r="D83" s="28">
        <f t="shared" si="9"/>
        <v>1774.66875</v>
      </c>
      <c r="F83" s="31">
        <v>49.5</v>
      </c>
      <c r="G83" s="31">
        <f t="shared" si="2"/>
        <v>99</v>
      </c>
      <c r="H83" s="32">
        <f t="shared" si="3"/>
        <v>1551.9875</v>
      </c>
      <c r="J83" s="36"/>
      <c r="K83" s="36"/>
      <c r="L83" s="32"/>
      <c r="M83" s="32"/>
      <c r="O83" s="27">
        <v>49.5</v>
      </c>
      <c r="P83" s="27">
        <f t="shared" si="7"/>
        <v>99</v>
      </c>
      <c r="Q83" s="28">
        <f t="shared" si="10"/>
        <v>1136.25</v>
      </c>
    </row>
    <row r="84" spans="2:17" x14ac:dyDescent="0.3">
      <c r="B84" s="31">
        <v>50</v>
      </c>
      <c r="C84" s="36">
        <f t="shared" si="1"/>
        <v>100</v>
      </c>
      <c r="D84" s="28">
        <f t="shared" si="9"/>
        <v>1796.5</v>
      </c>
      <c r="F84" s="36">
        <v>50</v>
      </c>
      <c r="G84" s="36">
        <f t="shared" si="2"/>
        <v>100</v>
      </c>
      <c r="H84" s="32">
        <f t="shared" si="3"/>
        <v>1571</v>
      </c>
      <c r="J84" s="29">
        <v>50</v>
      </c>
      <c r="K84" s="29">
        <f t="shared" si="4"/>
        <v>100</v>
      </c>
      <c r="L84" s="32">
        <f t="shared" si="5"/>
        <v>1602</v>
      </c>
      <c r="M84" s="32">
        <f t="shared" si="6"/>
        <v>898</v>
      </c>
      <c r="O84" s="26">
        <v>50</v>
      </c>
      <c r="P84" s="27">
        <f t="shared" si="7"/>
        <v>100</v>
      </c>
      <c r="Q84" s="34">
        <f t="shared" si="10"/>
        <v>1150</v>
      </c>
    </row>
    <row r="85" spans="2:17" x14ac:dyDescent="0.3">
      <c r="B85" s="31">
        <v>50.5</v>
      </c>
      <c r="C85" s="36">
        <f t="shared" si="1"/>
        <v>101</v>
      </c>
      <c r="D85" s="28">
        <f t="shared" si="9"/>
        <v>1818.33125</v>
      </c>
      <c r="F85" s="31">
        <v>50.5</v>
      </c>
      <c r="G85" s="31">
        <f t="shared" si="2"/>
        <v>101</v>
      </c>
      <c r="H85" s="32">
        <f t="shared" si="3"/>
        <v>1590.0125</v>
      </c>
      <c r="J85" s="36"/>
      <c r="K85" s="36"/>
      <c r="L85" s="32"/>
      <c r="M85" s="32"/>
      <c r="O85" s="27">
        <v>50.5</v>
      </c>
      <c r="P85" s="27">
        <f t="shared" si="7"/>
        <v>101</v>
      </c>
      <c r="Q85" s="28">
        <f t="shared" si="10"/>
        <v>1163.75</v>
      </c>
    </row>
    <row r="86" spans="2:17" x14ac:dyDescent="0.3">
      <c r="B86" s="31">
        <v>51</v>
      </c>
      <c r="C86" s="36">
        <f t="shared" si="1"/>
        <v>102</v>
      </c>
      <c r="D86" s="28">
        <f t="shared" si="9"/>
        <v>1840.1624999999999</v>
      </c>
      <c r="F86" s="31">
        <v>51</v>
      </c>
      <c r="G86" s="31">
        <f t="shared" si="2"/>
        <v>102</v>
      </c>
      <c r="H86" s="32">
        <f t="shared" si="3"/>
        <v>1609.0250000000001</v>
      </c>
      <c r="J86" s="29">
        <v>51</v>
      </c>
      <c r="K86" s="29">
        <f t="shared" si="4"/>
        <v>102</v>
      </c>
      <c r="L86" s="32">
        <f t="shared" si="5"/>
        <v>1640.8</v>
      </c>
      <c r="M86" s="32">
        <f t="shared" si="6"/>
        <v>919.19999999999993</v>
      </c>
      <c r="O86" s="27">
        <v>51</v>
      </c>
      <c r="P86" s="26">
        <f t="shared" si="7"/>
        <v>102</v>
      </c>
      <c r="Q86" s="28">
        <f t="shared" si="10"/>
        <v>1177.5</v>
      </c>
    </row>
    <row r="87" spans="2:17" x14ac:dyDescent="0.3">
      <c r="B87" s="31">
        <v>51.5</v>
      </c>
      <c r="C87" s="36">
        <f t="shared" si="1"/>
        <v>103</v>
      </c>
      <c r="D87" s="28">
        <f t="shared" si="9"/>
        <v>1861.9937500000001</v>
      </c>
      <c r="F87" s="36">
        <v>51.5</v>
      </c>
      <c r="G87" s="36">
        <f t="shared" si="2"/>
        <v>103</v>
      </c>
      <c r="H87" s="32">
        <f t="shared" si="3"/>
        <v>1628.0374999999999</v>
      </c>
      <c r="J87" s="36"/>
      <c r="K87" s="36"/>
      <c r="L87" s="32"/>
      <c r="M87" s="32"/>
      <c r="O87" s="26">
        <v>51.5</v>
      </c>
      <c r="P87" s="27">
        <f t="shared" si="7"/>
        <v>103</v>
      </c>
      <c r="Q87" s="34">
        <f t="shared" si="10"/>
        <v>1191.25</v>
      </c>
    </row>
    <row r="88" spans="2:17" x14ac:dyDescent="0.3">
      <c r="B88" s="31">
        <v>52</v>
      </c>
      <c r="C88" s="36">
        <f t="shared" si="1"/>
        <v>104</v>
      </c>
      <c r="D88" s="28">
        <f t="shared" si="9"/>
        <v>1883.825</v>
      </c>
      <c r="F88" s="31">
        <v>52</v>
      </c>
      <c r="G88" s="31">
        <f t="shared" si="2"/>
        <v>104</v>
      </c>
      <c r="H88" s="32">
        <f t="shared" si="3"/>
        <v>1647.05</v>
      </c>
      <c r="J88" s="29">
        <v>52</v>
      </c>
      <c r="K88" s="29">
        <f t="shared" si="4"/>
        <v>104</v>
      </c>
      <c r="L88" s="32">
        <f t="shared" si="5"/>
        <v>1679.6</v>
      </c>
      <c r="M88" s="32">
        <f t="shared" si="6"/>
        <v>940.4</v>
      </c>
      <c r="O88" s="27">
        <v>52</v>
      </c>
      <c r="P88" s="27">
        <f t="shared" si="7"/>
        <v>104</v>
      </c>
      <c r="Q88" s="28">
        <f t="shared" si="10"/>
        <v>1205</v>
      </c>
    </row>
    <row r="89" spans="2:17" x14ac:dyDescent="0.3">
      <c r="B89" s="31">
        <v>52.5</v>
      </c>
      <c r="C89" s="36">
        <f t="shared" si="1"/>
        <v>105</v>
      </c>
      <c r="D89" s="28">
        <f t="shared" si="9"/>
        <v>1905.65625</v>
      </c>
      <c r="F89" s="31">
        <v>52.5</v>
      </c>
      <c r="G89" s="31">
        <f t="shared" si="2"/>
        <v>105</v>
      </c>
      <c r="H89" s="32">
        <f t="shared" si="3"/>
        <v>1666.0625</v>
      </c>
      <c r="J89" s="36"/>
      <c r="K89" s="36"/>
      <c r="L89" s="32"/>
      <c r="M89" s="32"/>
      <c r="O89" s="27">
        <v>52.5</v>
      </c>
      <c r="P89" s="26">
        <f t="shared" si="7"/>
        <v>105</v>
      </c>
      <c r="Q89" s="28">
        <f t="shared" si="10"/>
        <v>1218.75</v>
      </c>
    </row>
    <row r="90" spans="2:17" x14ac:dyDescent="0.3">
      <c r="B90" s="31">
        <v>53</v>
      </c>
      <c r="C90" s="36">
        <f t="shared" si="1"/>
        <v>106</v>
      </c>
      <c r="D90" s="28">
        <f t="shared" si="9"/>
        <v>1927.4875</v>
      </c>
      <c r="F90" s="36">
        <v>53</v>
      </c>
      <c r="G90" s="36">
        <f t="shared" si="2"/>
        <v>106</v>
      </c>
      <c r="H90" s="32">
        <f t="shared" si="3"/>
        <v>1685.075</v>
      </c>
      <c r="J90" s="29">
        <v>53</v>
      </c>
      <c r="K90" s="29">
        <f t="shared" si="4"/>
        <v>106</v>
      </c>
      <c r="L90" s="32">
        <f t="shared" si="5"/>
        <v>1718.3999999999999</v>
      </c>
      <c r="M90" s="32">
        <f t="shared" si="6"/>
        <v>961.6</v>
      </c>
      <c r="O90" s="26">
        <v>53</v>
      </c>
      <c r="P90" s="27">
        <f t="shared" si="7"/>
        <v>106</v>
      </c>
      <c r="Q90" s="34">
        <f t="shared" si="10"/>
        <v>1232.5</v>
      </c>
    </row>
    <row r="91" spans="2:17" x14ac:dyDescent="0.3">
      <c r="B91" s="31">
        <v>53.5</v>
      </c>
      <c r="C91" s="36">
        <f t="shared" si="1"/>
        <v>107</v>
      </c>
      <c r="D91" s="28">
        <f t="shared" si="9"/>
        <v>1949.3187499999999</v>
      </c>
      <c r="F91" s="31">
        <v>53.5</v>
      </c>
      <c r="G91" s="31">
        <f t="shared" si="2"/>
        <v>107</v>
      </c>
      <c r="H91" s="32">
        <f t="shared" si="3"/>
        <v>1704.0875000000001</v>
      </c>
      <c r="J91" s="36"/>
      <c r="K91" s="36"/>
      <c r="L91" s="32"/>
      <c r="M91" s="32"/>
      <c r="O91" s="27">
        <v>53.5</v>
      </c>
      <c r="P91" s="27">
        <f t="shared" si="7"/>
        <v>107</v>
      </c>
      <c r="Q91" s="28">
        <f t="shared" si="10"/>
        <v>1246.25</v>
      </c>
    </row>
    <row r="92" spans="2:17" x14ac:dyDescent="0.3">
      <c r="B92" s="31">
        <v>54</v>
      </c>
      <c r="C92" s="36">
        <f t="shared" si="1"/>
        <v>108</v>
      </c>
      <c r="D92" s="28">
        <f t="shared" si="9"/>
        <v>1971.15</v>
      </c>
      <c r="F92" s="31">
        <v>54</v>
      </c>
      <c r="G92" s="31">
        <f t="shared" si="2"/>
        <v>108</v>
      </c>
      <c r="H92" s="32">
        <f t="shared" si="3"/>
        <v>1723.1</v>
      </c>
      <c r="J92" s="29">
        <v>54</v>
      </c>
      <c r="K92" s="29">
        <f t="shared" si="4"/>
        <v>108</v>
      </c>
      <c r="L92" s="32">
        <f t="shared" si="5"/>
        <v>1757.1999999999998</v>
      </c>
      <c r="M92" s="32">
        <f t="shared" si="6"/>
        <v>982.8</v>
      </c>
      <c r="O92" s="27">
        <v>54</v>
      </c>
      <c r="P92" s="27">
        <f t="shared" si="7"/>
        <v>108</v>
      </c>
      <c r="Q92" s="28">
        <f t="shared" si="10"/>
        <v>1260</v>
      </c>
    </row>
    <row r="93" spans="2:17" x14ac:dyDescent="0.3">
      <c r="B93" s="31">
        <v>54.5</v>
      </c>
      <c r="C93" s="36">
        <f t="shared" si="1"/>
        <v>109</v>
      </c>
      <c r="D93" s="28">
        <f t="shared" si="9"/>
        <v>1992.98125</v>
      </c>
      <c r="F93" s="36">
        <v>54.5</v>
      </c>
      <c r="G93" s="36">
        <f t="shared" si="2"/>
        <v>109</v>
      </c>
      <c r="H93" s="32">
        <f t="shared" si="3"/>
        <v>1742.1125</v>
      </c>
      <c r="J93" s="36"/>
      <c r="K93" s="36"/>
      <c r="L93" s="32"/>
      <c r="M93" s="32"/>
      <c r="O93" s="26">
        <v>54.5</v>
      </c>
      <c r="P93" s="27">
        <f t="shared" si="7"/>
        <v>109</v>
      </c>
      <c r="Q93" s="34">
        <f t="shared" si="10"/>
        <v>1273.75</v>
      </c>
    </row>
    <row r="94" spans="2:17" x14ac:dyDescent="0.3">
      <c r="B94" s="31">
        <v>55</v>
      </c>
      <c r="C94" s="36">
        <f t="shared" si="1"/>
        <v>110</v>
      </c>
      <c r="D94" s="28">
        <f t="shared" si="9"/>
        <v>2014.8125</v>
      </c>
      <c r="F94" s="31">
        <v>55</v>
      </c>
      <c r="G94" s="31">
        <f t="shared" si="2"/>
        <v>110</v>
      </c>
      <c r="H94" s="32">
        <f t="shared" si="3"/>
        <v>1761.125</v>
      </c>
      <c r="J94" s="29">
        <v>55</v>
      </c>
      <c r="K94" s="29">
        <f t="shared" si="4"/>
        <v>110</v>
      </c>
      <c r="L94" s="32">
        <f t="shared" si="5"/>
        <v>1795.9999999999998</v>
      </c>
      <c r="M94" s="32">
        <f t="shared" si="6"/>
        <v>1004</v>
      </c>
      <c r="O94" s="27">
        <v>55</v>
      </c>
      <c r="P94" s="26">
        <f t="shared" si="7"/>
        <v>110</v>
      </c>
      <c r="Q94" s="28">
        <f t="shared" si="10"/>
        <v>1287.5</v>
      </c>
    </row>
    <row r="95" spans="2:17" x14ac:dyDescent="0.3">
      <c r="B95" s="31">
        <v>55.5</v>
      </c>
      <c r="C95" s="36">
        <f t="shared" si="1"/>
        <v>111</v>
      </c>
      <c r="D95" s="28">
        <f t="shared" si="9"/>
        <v>2036.64375</v>
      </c>
      <c r="F95" s="31">
        <v>55.5</v>
      </c>
      <c r="G95" s="31">
        <f t="shared" si="2"/>
        <v>111</v>
      </c>
      <c r="H95" s="32">
        <f t="shared" si="3"/>
        <v>1780.1375</v>
      </c>
      <c r="J95" s="36"/>
      <c r="K95" s="36"/>
      <c r="L95" s="32"/>
      <c r="M95" s="32"/>
      <c r="O95" s="27">
        <v>55.5</v>
      </c>
      <c r="P95" s="27">
        <f t="shared" si="7"/>
        <v>111</v>
      </c>
      <c r="Q95" s="28">
        <f t="shared" si="10"/>
        <v>1301.25</v>
      </c>
    </row>
    <row r="96" spans="2:17" x14ac:dyDescent="0.3">
      <c r="B96" s="31">
        <v>56</v>
      </c>
      <c r="C96" s="36">
        <f t="shared" si="1"/>
        <v>112</v>
      </c>
      <c r="D96" s="28">
        <f t="shared" si="9"/>
        <v>2058.4749999999999</v>
      </c>
      <c r="F96" s="36">
        <v>56</v>
      </c>
      <c r="G96" s="36">
        <f t="shared" si="2"/>
        <v>112</v>
      </c>
      <c r="H96" s="32">
        <f t="shared" si="3"/>
        <v>1799.15</v>
      </c>
      <c r="J96" s="29">
        <v>56</v>
      </c>
      <c r="K96" s="29">
        <f t="shared" si="4"/>
        <v>112</v>
      </c>
      <c r="L96" s="32">
        <f t="shared" si="5"/>
        <v>1834.8</v>
      </c>
      <c r="M96" s="32">
        <f t="shared" si="6"/>
        <v>1025.1999999999998</v>
      </c>
      <c r="O96" s="26">
        <v>56</v>
      </c>
      <c r="P96" s="27">
        <f t="shared" si="7"/>
        <v>112</v>
      </c>
      <c r="Q96" s="34">
        <f t="shared" si="10"/>
        <v>1315</v>
      </c>
    </row>
    <row r="97" spans="2:17" x14ac:dyDescent="0.3">
      <c r="B97" s="31">
        <v>56.5</v>
      </c>
      <c r="C97" s="36">
        <f t="shared" si="1"/>
        <v>113</v>
      </c>
      <c r="D97" s="28">
        <f t="shared" si="9"/>
        <v>2080.3062500000001</v>
      </c>
      <c r="F97" s="31">
        <v>56.5</v>
      </c>
      <c r="G97" s="31">
        <f t="shared" si="2"/>
        <v>113</v>
      </c>
      <c r="H97" s="32">
        <f t="shared" si="3"/>
        <v>1818.1624999999999</v>
      </c>
      <c r="J97" s="36"/>
      <c r="K97" s="36"/>
      <c r="L97" s="32"/>
      <c r="M97" s="32"/>
      <c r="O97" s="27">
        <v>56.5</v>
      </c>
      <c r="P97" s="26">
        <f t="shared" si="7"/>
        <v>113</v>
      </c>
      <c r="Q97" s="28">
        <f t="shared" si="10"/>
        <v>1328.75</v>
      </c>
    </row>
    <row r="98" spans="2:17" x14ac:dyDescent="0.3">
      <c r="B98" s="31">
        <v>57</v>
      </c>
      <c r="C98" s="36">
        <f t="shared" si="1"/>
        <v>114</v>
      </c>
      <c r="D98" s="28">
        <f t="shared" si="9"/>
        <v>2102.1374999999998</v>
      </c>
      <c r="F98" s="31">
        <v>57</v>
      </c>
      <c r="G98" s="31">
        <f t="shared" si="2"/>
        <v>114</v>
      </c>
      <c r="H98" s="32">
        <f t="shared" si="3"/>
        <v>1837.175</v>
      </c>
      <c r="J98" s="29">
        <v>57</v>
      </c>
      <c r="K98" s="29">
        <f t="shared" si="4"/>
        <v>114</v>
      </c>
      <c r="L98" s="32">
        <f t="shared" si="5"/>
        <v>1873.6</v>
      </c>
      <c r="M98" s="32">
        <f t="shared" si="6"/>
        <v>1046.4000000000001</v>
      </c>
      <c r="O98" s="27">
        <v>57</v>
      </c>
      <c r="P98" s="27">
        <f t="shared" si="7"/>
        <v>114</v>
      </c>
      <c r="Q98" s="28">
        <f t="shared" si="10"/>
        <v>1342.5</v>
      </c>
    </row>
    <row r="99" spans="2:17" x14ac:dyDescent="0.3">
      <c r="B99" s="31">
        <v>57.5</v>
      </c>
      <c r="C99" s="36">
        <f t="shared" si="1"/>
        <v>115</v>
      </c>
      <c r="D99" s="28">
        <f t="shared" si="9"/>
        <v>2123.96875</v>
      </c>
      <c r="F99" s="36">
        <v>57.5</v>
      </c>
      <c r="G99" s="36">
        <f t="shared" si="2"/>
        <v>115</v>
      </c>
      <c r="H99" s="32">
        <f t="shared" si="3"/>
        <v>1856.1875</v>
      </c>
      <c r="J99" s="36"/>
      <c r="K99" s="36"/>
      <c r="L99" s="32"/>
      <c r="M99" s="32"/>
      <c r="O99" s="26">
        <v>57.5</v>
      </c>
      <c r="P99" s="27">
        <f t="shared" si="7"/>
        <v>115</v>
      </c>
      <c r="Q99" s="34">
        <f t="shared" si="10"/>
        <v>1356.25</v>
      </c>
    </row>
    <row r="100" spans="2:17" x14ac:dyDescent="0.3">
      <c r="B100" s="31">
        <v>58</v>
      </c>
      <c r="C100" s="36">
        <f t="shared" si="1"/>
        <v>116</v>
      </c>
      <c r="D100" s="28">
        <f t="shared" si="9"/>
        <v>2145.8000000000002</v>
      </c>
      <c r="F100" s="31">
        <v>58</v>
      </c>
      <c r="G100" s="31">
        <f t="shared" si="2"/>
        <v>116</v>
      </c>
      <c r="H100" s="32">
        <f t="shared" si="3"/>
        <v>1875.2</v>
      </c>
      <c r="J100" s="29">
        <v>58</v>
      </c>
      <c r="K100" s="29">
        <f t="shared" si="4"/>
        <v>116</v>
      </c>
      <c r="L100" s="32">
        <f t="shared" si="5"/>
        <v>1912.3999999999999</v>
      </c>
      <c r="M100" s="32">
        <f t="shared" si="6"/>
        <v>1067.5999999999999</v>
      </c>
      <c r="O100" s="27">
        <v>58</v>
      </c>
      <c r="P100" s="27">
        <f t="shared" si="7"/>
        <v>116</v>
      </c>
      <c r="Q100" s="28">
        <f t="shared" si="10"/>
        <v>1370</v>
      </c>
    </row>
    <row r="101" spans="2:17" x14ac:dyDescent="0.3">
      <c r="B101" s="31">
        <v>58.5</v>
      </c>
      <c r="C101" s="36">
        <f t="shared" si="1"/>
        <v>117</v>
      </c>
      <c r="D101" s="28">
        <f t="shared" si="9"/>
        <v>2167.6312499999999</v>
      </c>
      <c r="F101" s="31">
        <v>58.5</v>
      </c>
      <c r="G101" s="31">
        <f t="shared" si="2"/>
        <v>117</v>
      </c>
      <c r="H101" s="32">
        <f t="shared" si="3"/>
        <v>1894.2125000000001</v>
      </c>
      <c r="J101" s="36"/>
      <c r="K101" s="36"/>
      <c r="L101" s="32"/>
      <c r="M101" s="32"/>
      <c r="O101" s="27">
        <v>58.5</v>
      </c>
      <c r="P101" s="27">
        <f t="shared" si="7"/>
        <v>117</v>
      </c>
      <c r="Q101" s="28">
        <f t="shared" si="10"/>
        <v>1383.75</v>
      </c>
    </row>
    <row r="102" spans="2:17" x14ac:dyDescent="0.3">
      <c r="B102" s="31">
        <v>59</v>
      </c>
      <c r="C102" s="36">
        <f t="shared" si="1"/>
        <v>118</v>
      </c>
      <c r="D102" s="28">
        <f t="shared" si="9"/>
        <v>2189.4625000000001</v>
      </c>
      <c r="F102" s="36">
        <v>59</v>
      </c>
      <c r="G102" s="36">
        <f t="shared" si="2"/>
        <v>118</v>
      </c>
      <c r="H102" s="32">
        <f t="shared" si="3"/>
        <v>1913.2249999999999</v>
      </c>
      <c r="J102" s="29">
        <v>59</v>
      </c>
      <c r="K102" s="29">
        <f t="shared" si="4"/>
        <v>118</v>
      </c>
      <c r="L102" s="32">
        <f t="shared" si="5"/>
        <v>1951.1999999999998</v>
      </c>
      <c r="M102" s="32">
        <f t="shared" si="6"/>
        <v>1088.8</v>
      </c>
      <c r="O102" s="26">
        <v>59</v>
      </c>
      <c r="P102" s="26">
        <f t="shared" si="7"/>
        <v>118</v>
      </c>
      <c r="Q102" s="34">
        <f t="shared" si="10"/>
        <v>1397.5</v>
      </c>
    </row>
    <row r="103" spans="2:17" x14ac:dyDescent="0.3">
      <c r="B103" s="31">
        <v>59.5</v>
      </c>
      <c r="C103" s="36">
        <f t="shared" si="1"/>
        <v>119</v>
      </c>
      <c r="D103" s="28">
        <f t="shared" si="9"/>
        <v>2211.2937499999998</v>
      </c>
      <c r="F103" s="31">
        <v>59.5</v>
      </c>
      <c r="G103" s="31">
        <f t="shared" si="2"/>
        <v>119</v>
      </c>
      <c r="H103" s="32">
        <f t="shared" si="3"/>
        <v>1932.2375</v>
      </c>
      <c r="J103" s="36"/>
      <c r="K103" s="36"/>
      <c r="L103" s="32"/>
      <c r="M103" s="32"/>
      <c r="O103" s="27">
        <v>59.5</v>
      </c>
      <c r="P103" s="27">
        <f t="shared" si="7"/>
        <v>119</v>
      </c>
      <c r="Q103" s="28">
        <f t="shared" si="10"/>
        <v>1411.25</v>
      </c>
    </row>
    <row r="104" spans="2:17" x14ac:dyDescent="0.3">
      <c r="B104" s="31">
        <v>60</v>
      </c>
      <c r="C104" s="36">
        <f t="shared" si="1"/>
        <v>120</v>
      </c>
      <c r="D104" s="28">
        <f t="shared" si="9"/>
        <v>2233.125</v>
      </c>
      <c r="F104" s="31">
        <v>60</v>
      </c>
      <c r="G104" s="31">
        <f t="shared" si="2"/>
        <v>120</v>
      </c>
      <c r="H104" s="32">
        <f t="shared" si="3"/>
        <v>1951.25</v>
      </c>
      <c r="J104" s="29">
        <v>60</v>
      </c>
      <c r="K104" s="29">
        <f t="shared" si="4"/>
        <v>120</v>
      </c>
      <c r="L104" s="32">
        <f t="shared" si="5"/>
        <v>1989.9999999999998</v>
      </c>
      <c r="M104" s="32">
        <f t="shared" si="6"/>
        <v>1110</v>
      </c>
      <c r="O104" s="27">
        <v>60</v>
      </c>
      <c r="P104" s="27">
        <f t="shared" si="7"/>
        <v>120</v>
      </c>
      <c r="Q104" s="28">
        <f t="shared" si="10"/>
        <v>1425</v>
      </c>
    </row>
    <row r="105" spans="2:17" x14ac:dyDescent="0.3">
      <c r="B105" s="31">
        <v>60.5</v>
      </c>
      <c r="C105" s="36">
        <f t="shared" si="1"/>
        <v>121</v>
      </c>
      <c r="D105" s="28">
        <f t="shared" si="9"/>
        <v>2254.9562500000002</v>
      </c>
      <c r="F105" s="36">
        <v>60.5</v>
      </c>
      <c r="G105" s="36">
        <f t="shared" si="2"/>
        <v>121</v>
      </c>
      <c r="H105" s="32">
        <f t="shared" si="3"/>
        <v>1970.2625</v>
      </c>
      <c r="J105" s="36"/>
      <c r="K105" s="36"/>
      <c r="L105" s="32"/>
      <c r="M105" s="32"/>
      <c r="O105" s="26">
        <v>60.5</v>
      </c>
      <c r="P105" s="26">
        <f t="shared" si="7"/>
        <v>121</v>
      </c>
      <c r="Q105" s="34">
        <f t="shared" si="10"/>
        <v>1438.75</v>
      </c>
    </row>
    <row r="106" spans="2:17" x14ac:dyDescent="0.3">
      <c r="B106" s="31">
        <v>61</v>
      </c>
      <c r="C106" s="36">
        <f t="shared" si="1"/>
        <v>122</v>
      </c>
      <c r="D106" s="28">
        <f t="shared" si="9"/>
        <v>2276.7874999999999</v>
      </c>
      <c r="F106" s="31">
        <v>61</v>
      </c>
      <c r="G106" s="31">
        <f t="shared" si="2"/>
        <v>122</v>
      </c>
      <c r="H106" s="32">
        <f t="shared" si="3"/>
        <v>1989.2750000000001</v>
      </c>
      <c r="J106" s="29">
        <v>61</v>
      </c>
      <c r="K106" s="29">
        <f t="shared" si="4"/>
        <v>122</v>
      </c>
      <c r="L106" s="32">
        <f t="shared" si="5"/>
        <v>2028.8</v>
      </c>
      <c r="M106" s="32">
        <f t="shared" si="6"/>
        <v>1131.2</v>
      </c>
      <c r="O106" s="27">
        <v>61</v>
      </c>
      <c r="P106" s="27">
        <f t="shared" si="7"/>
        <v>122</v>
      </c>
      <c r="Q106" s="28">
        <f t="shared" si="10"/>
        <v>1452.5</v>
      </c>
    </row>
    <row r="107" spans="2:17" x14ac:dyDescent="0.3">
      <c r="B107" s="31">
        <v>61.5</v>
      </c>
      <c r="C107" s="36">
        <f t="shared" si="1"/>
        <v>123</v>
      </c>
      <c r="D107" s="28">
        <f t="shared" si="9"/>
        <v>2298.6187500000001</v>
      </c>
      <c r="F107" s="31">
        <v>61.5</v>
      </c>
      <c r="G107" s="31">
        <f t="shared" si="2"/>
        <v>123</v>
      </c>
      <c r="H107" s="32">
        <f t="shared" si="3"/>
        <v>2008.2874999999999</v>
      </c>
      <c r="J107" s="36"/>
      <c r="K107" s="36"/>
      <c r="L107" s="32"/>
      <c r="M107" s="32"/>
      <c r="O107" s="27">
        <v>61.5</v>
      </c>
      <c r="P107" s="27">
        <f t="shared" si="7"/>
        <v>123</v>
      </c>
      <c r="Q107" s="28">
        <f t="shared" si="10"/>
        <v>1466.25</v>
      </c>
    </row>
    <row r="108" spans="2:17" x14ac:dyDescent="0.3">
      <c r="B108" s="31">
        <v>62</v>
      </c>
      <c r="C108" s="36">
        <f t="shared" si="1"/>
        <v>124</v>
      </c>
      <c r="D108" s="28">
        <f t="shared" si="9"/>
        <v>2320.4499999999998</v>
      </c>
      <c r="F108" s="36">
        <v>62</v>
      </c>
      <c r="G108" s="36">
        <f t="shared" si="2"/>
        <v>124</v>
      </c>
      <c r="H108" s="32">
        <f t="shared" si="3"/>
        <v>2027.3</v>
      </c>
      <c r="J108" s="29">
        <v>62</v>
      </c>
      <c r="K108" s="29">
        <f t="shared" si="4"/>
        <v>124</v>
      </c>
      <c r="L108" s="32">
        <f t="shared" si="5"/>
        <v>2067.6</v>
      </c>
      <c r="M108" s="32">
        <f t="shared" si="6"/>
        <v>1152.3999999999999</v>
      </c>
      <c r="O108" s="26">
        <v>62</v>
      </c>
      <c r="P108" s="27">
        <f t="shared" si="7"/>
        <v>124</v>
      </c>
      <c r="Q108" s="34">
        <f t="shared" si="10"/>
        <v>1480</v>
      </c>
    </row>
    <row r="109" spans="2:17" x14ac:dyDescent="0.3">
      <c r="B109" s="31">
        <v>62.5</v>
      </c>
      <c r="C109" s="36">
        <f t="shared" si="1"/>
        <v>125</v>
      </c>
      <c r="D109" s="28">
        <f t="shared" si="9"/>
        <v>2342.28125</v>
      </c>
      <c r="F109" s="31">
        <v>62.5</v>
      </c>
      <c r="G109" s="31">
        <f t="shared" si="2"/>
        <v>125</v>
      </c>
      <c r="H109" s="32">
        <f t="shared" si="3"/>
        <v>2046.3125</v>
      </c>
      <c r="J109" s="36"/>
      <c r="K109" s="36"/>
      <c r="L109" s="32"/>
      <c r="M109" s="32"/>
      <c r="O109" s="27">
        <v>62.5</v>
      </c>
      <c r="P109" s="27">
        <f t="shared" si="7"/>
        <v>125</v>
      </c>
      <c r="Q109" s="28">
        <f t="shared" si="10"/>
        <v>1493.75</v>
      </c>
    </row>
    <row r="110" spans="2:17" x14ac:dyDescent="0.3">
      <c r="B110" s="31">
        <v>63</v>
      </c>
      <c r="C110" s="36">
        <f t="shared" si="1"/>
        <v>126</v>
      </c>
      <c r="D110" s="28">
        <f t="shared" si="9"/>
        <v>2364.1125000000002</v>
      </c>
      <c r="F110" s="31">
        <v>63</v>
      </c>
      <c r="G110" s="31">
        <f t="shared" si="2"/>
        <v>126</v>
      </c>
      <c r="H110" s="32">
        <f t="shared" si="3"/>
        <v>2065.3249999999998</v>
      </c>
      <c r="J110" s="29">
        <v>63</v>
      </c>
      <c r="K110" s="29">
        <f t="shared" si="4"/>
        <v>126</v>
      </c>
      <c r="L110" s="32">
        <f t="shared" si="5"/>
        <v>2106.3999999999996</v>
      </c>
      <c r="M110" s="32">
        <f t="shared" si="6"/>
        <v>1173.5999999999999</v>
      </c>
      <c r="O110" s="27">
        <v>63</v>
      </c>
      <c r="P110" s="26">
        <f t="shared" si="7"/>
        <v>126</v>
      </c>
      <c r="Q110" s="28">
        <f t="shared" si="10"/>
        <v>1507.5</v>
      </c>
    </row>
    <row r="111" spans="2:17" x14ac:dyDescent="0.3">
      <c r="B111" s="31">
        <v>63.5</v>
      </c>
      <c r="C111" s="36">
        <f t="shared" si="1"/>
        <v>127</v>
      </c>
      <c r="D111" s="28">
        <f t="shared" si="9"/>
        <v>2385.9437499999999</v>
      </c>
      <c r="F111" s="36">
        <v>63.5</v>
      </c>
      <c r="G111" s="36">
        <f t="shared" si="2"/>
        <v>127</v>
      </c>
      <c r="H111" s="32">
        <f t="shared" si="3"/>
        <v>2084.3375000000001</v>
      </c>
      <c r="J111" s="36"/>
      <c r="K111" s="36"/>
      <c r="L111" s="32"/>
      <c r="M111" s="32"/>
      <c r="O111" s="26">
        <v>63.5</v>
      </c>
      <c r="P111" s="27">
        <f t="shared" si="7"/>
        <v>127</v>
      </c>
      <c r="Q111" s="34">
        <f t="shared" si="10"/>
        <v>1521.25</v>
      </c>
    </row>
    <row r="112" spans="2:17" x14ac:dyDescent="0.3">
      <c r="B112" s="31">
        <v>64</v>
      </c>
      <c r="C112" s="36">
        <f t="shared" si="1"/>
        <v>128</v>
      </c>
      <c r="D112" s="28">
        <f t="shared" si="9"/>
        <v>2407.7750000000001</v>
      </c>
      <c r="F112" s="31">
        <v>64</v>
      </c>
      <c r="G112" s="31">
        <f t="shared" si="2"/>
        <v>128</v>
      </c>
      <c r="H112" s="32">
        <f t="shared" si="3"/>
        <v>2103.35</v>
      </c>
      <c r="J112" s="29">
        <v>64</v>
      </c>
      <c r="K112" s="29">
        <f t="shared" si="4"/>
        <v>128</v>
      </c>
      <c r="L112" s="32">
        <f t="shared" si="5"/>
        <v>2145.1999999999998</v>
      </c>
      <c r="M112" s="32">
        <f>(K112-20)*10.6+50</f>
        <v>1194.8</v>
      </c>
      <c r="O112" s="27">
        <v>64</v>
      </c>
      <c r="P112" s="27">
        <f t="shared" si="7"/>
        <v>128</v>
      </c>
      <c r="Q112" s="28">
        <f t="shared" si="10"/>
        <v>1535</v>
      </c>
    </row>
    <row r="113" spans="2:17" x14ac:dyDescent="0.3">
      <c r="B113" s="31">
        <v>64.5</v>
      </c>
      <c r="C113" s="36">
        <f t="shared" si="1"/>
        <v>129</v>
      </c>
      <c r="D113" s="28">
        <f t="shared" si="9"/>
        <v>2429.6062499999998</v>
      </c>
      <c r="F113" s="31">
        <v>64.5</v>
      </c>
      <c r="G113" s="31">
        <f t="shared" si="2"/>
        <v>129</v>
      </c>
      <c r="H113" s="32">
        <f t="shared" si="3"/>
        <v>2122.3625000000002</v>
      </c>
      <c r="J113" s="36"/>
      <c r="K113" s="36"/>
      <c r="L113" s="32"/>
      <c r="M113" s="32"/>
      <c r="O113" s="27">
        <v>64.5</v>
      </c>
      <c r="P113" s="26">
        <f t="shared" si="7"/>
        <v>129</v>
      </c>
      <c r="Q113" s="28">
        <f t="shared" si="10"/>
        <v>1548.75</v>
      </c>
    </row>
    <row r="114" spans="2:17" x14ac:dyDescent="0.3">
      <c r="B114" s="31">
        <v>65</v>
      </c>
      <c r="C114" s="36">
        <f t="shared" si="1"/>
        <v>130</v>
      </c>
      <c r="D114" s="28">
        <f t="shared" si="9"/>
        <v>2451.4375</v>
      </c>
      <c r="F114" s="36">
        <v>65</v>
      </c>
      <c r="G114" s="36">
        <f t="shared" si="2"/>
        <v>130</v>
      </c>
      <c r="H114" s="32">
        <f t="shared" si="3"/>
        <v>2141.375</v>
      </c>
      <c r="J114" s="29">
        <v>65</v>
      </c>
      <c r="K114" s="29">
        <f t="shared" si="4"/>
        <v>130</v>
      </c>
      <c r="L114" s="32">
        <f t="shared" si="5"/>
        <v>2184</v>
      </c>
      <c r="M114" s="32">
        <f t="shared" si="6"/>
        <v>1216</v>
      </c>
      <c r="O114" s="26">
        <v>65</v>
      </c>
      <c r="P114" s="27">
        <f t="shared" si="7"/>
        <v>130</v>
      </c>
      <c r="Q114" s="34">
        <f t="shared" si="10"/>
        <v>1562.5</v>
      </c>
    </row>
    <row r="115" spans="2:17" x14ac:dyDescent="0.3">
      <c r="B115" s="31">
        <v>65.5</v>
      </c>
      <c r="C115" s="36">
        <f t="shared" si="1"/>
        <v>131</v>
      </c>
      <c r="D115" s="28">
        <f t="shared" si="9"/>
        <v>2473.2687500000002</v>
      </c>
      <c r="F115" s="31">
        <v>65.5</v>
      </c>
      <c r="G115" s="31">
        <f t="shared" si="2"/>
        <v>131</v>
      </c>
      <c r="H115" s="32">
        <f t="shared" si="3"/>
        <v>2160.3874999999998</v>
      </c>
      <c r="J115" s="36"/>
      <c r="K115" s="36"/>
      <c r="L115" s="32"/>
      <c r="M115" s="32"/>
      <c r="O115" s="27">
        <v>65.5</v>
      </c>
      <c r="P115" s="27">
        <f t="shared" si="7"/>
        <v>131</v>
      </c>
      <c r="Q115" s="28">
        <f t="shared" si="10"/>
        <v>1576.25</v>
      </c>
    </row>
    <row r="116" spans="2:17" x14ac:dyDescent="0.3">
      <c r="B116" s="31">
        <v>66</v>
      </c>
      <c r="C116" s="36">
        <f t="shared" si="1"/>
        <v>132</v>
      </c>
      <c r="D116" s="28">
        <f t="shared" si="9"/>
        <v>2495.1</v>
      </c>
      <c r="F116" s="31">
        <v>66</v>
      </c>
      <c r="G116" s="31">
        <f t="shared" si="2"/>
        <v>132</v>
      </c>
      <c r="H116" s="32">
        <f t="shared" si="3"/>
        <v>2179.4</v>
      </c>
      <c r="J116" s="29">
        <v>66</v>
      </c>
      <c r="K116" s="29">
        <f t="shared" si="4"/>
        <v>132</v>
      </c>
      <c r="L116" s="32">
        <f t="shared" si="5"/>
        <v>2222.7999999999997</v>
      </c>
      <c r="M116" s="32">
        <f t="shared" si="6"/>
        <v>1237.2</v>
      </c>
      <c r="O116" s="27">
        <v>66</v>
      </c>
      <c r="P116" s="27">
        <f t="shared" si="7"/>
        <v>132</v>
      </c>
      <c r="Q116" s="28">
        <f t="shared" si="10"/>
        <v>1590</v>
      </c>
    </row>
    <row r="117" spans="2:17" x14ac:dyDescent="0.3">
      <c r="B117" s="31">
        <v>66.5</v>
      </c>
      <c r="C117" s="36">
        <f t="shared" si="1"/>
        <v>133</v>
      </c>
      <c r="D117" s="28">
        <f t="shared" si="9"/>
        <v>2516.9312500000001</v>
      </c>
      <c r="F117" s="36">
        <v>66.5</v>
      </c>
      <c r="G117" s="36">
        <f t="shared" si="2"/>
        <v>133</v>
      </c>
      <c r="H117" s="32">
        <f t="shared" si="3"/>
        <v>2198.4124999999999</v>
      </c>
      <c r="J117" s="36"/>
      <c r="K117" s="36"/>
      <c r="L117" s="32"/>
      <c r="M117" s="32"/>
      <c r="O117" s="26">
        <v>66.5</v>
      </c>
      <c r="P117" s="27">
        <f t="shared" si="7"/>
        <v>133</v>
      </c>
      <c r="Q117" s="34">
        <f t="shared" si="10"/>
        <v>1603.75</v>
      </c>
    </row>
    <row r="118" spans="2:17" x14ac:dyDescent="0.3">
      <c r="B118" s="31">
        <v>67</v>
      </c>
      <c r="C118" s="36">
        <f t="shared" si="1"/>
        <v>134</v>
      </c>
      <c r="D118" s="28">
        <f t="shared" si="9"/>
        <v>2538.7624999999998</v>
      </c>
      <c r="F118" s="31">
        <v>67</v>
      </c>
      <c r="G118" s="31">
        <f t="shared" si="2"/>
        <v>134</v>
      </c>
      <c r="H118" s="32">
        <f t="shared" si="3"/>
        <v>2217.4250000000002</v>
      </c>
      <c r="J118" s="29">
        <v>67</v>
      </c>
      <c r="K118" s="29">
        <f t="shared" si="4"/>
        <v>134</v>
      </c>
      <c r="L118" s="32">
        <f t="shared" si="5"/>
        <v>2261.6</v>
      </c>
      <c r="M118" s="32">
        <f t="shared" si="6"/>
        <v>1258.3999999999999</v>
      </c>
      <c r="O118" s="27">
        <v>67</v>
      </c>
      <c r="P118" s="26">
        <f t="shared" si="7"/>
        <v>134</v>
      </c>
      <c r="Q118" s="28">
        <f t="shared" si="10"/>
        <v>1617.5</v>
      </c>
    </row>
    <row r="119" spans="2:17" x14ac:dyDescent="0.3">
      <c r="B119" s="31">
        <v>67.5</v>
      </c>
      <c r="C119" s="36">
        <f t="shared" si="1"/>
        <v>135</v>
      </c>
      <c r="D119" s="28">
        <f t="shared" si="9"/>
        <v>2560.59375</v>
      </c>
      <c r="F119" s="31">
        <v>67.5</v>
      </c>
      <c r="G119" s="31">
        <f t="shared" si="2"/>
        <v>135</v>
      </c>
      <c r="H119" s="32">
        <f t="shared" si="3"/>
        <v>2236.4375</v>
      </c>
      <c r="J119" s="36"/>
      <c r="K119" s="36"/>
      <c r="L119" s="32"/>
      <c r="M119" s="32"/>
      <c r="O119" s="27">
        <v>67.5</v>
      </c>
      <c r="P119" s="27">
        <f t="shared" si="7"/>
        <v>135</v>
      </c>
      <c r="Q119" s="28">
        <f t="shared" si="10"/>
        <v>1631.25</v>
      </c>
    </row>
    <row r="120" spans="2:17" x14ac:dyDescent="0.3">
      <c r="B120" s="31">
        <v>68</v>
      </c>
      <c r="C120" s="36">
        <f t="shared" si="1"/>
        <v>136</v>
      </c>
      <c r="D120" s="28">
        <f t="shared" si="9"/>
        <v>2582.4250000000002</v>
      </c>
      <c r="F120" s="36">
        <v>68</v>
      </c>
      <c r="G120" s="36">
        <f t="shared" si="2"/>
        <v>136</v>
      </c>
      <c r="H120" s="32">
        <f t="shared" si="3"/>
        <v>2255.4499999999998</v>
      </c>
      <c r="J120" s="29">
        <v>68</v>
      </c>
      <c r="K120" s="29">
        <f t="shared" si="4"/>
        <v>136</v>
      </c>
      <c r="L120" s="32">
        <f t="shared" si="5"/>
        <v>2300.3999999999996</v>
      </c>
      <c r="M120" s="32">
        <f t="shared" si="6"/>
        <v>1279.5999999999999</v>
      </c>
      <c r="O120" s="26">
        <v>68</v>
      </c>
      <c r="P120" s="27">
        <f t="shared" si="7"/>
        <v>136</v>
      </c>
      <c r="Q120" s="34">
        <f t="shared" si="10"/>
        <v>1645</v>
      </c>
    </row>
    <row r="121" spans="2:17" x14ac:dyDescent="0.3">
      <c r="B121" s="31">
        <v>68.5</v>
      </c>
      <c r="C121" s="36">
        <f t="shared" si="1"/>
        <v>137</v>
      </c>
      <c r="D121" s="28">
        <f t="shared" si="9"/>
        <v>2604.2562499999999</v>
      </c>
      <c r="F121" s="31">
        <v>68.5</v>
      </c>
      <c r="G121" s="31">
        <f t="shared" si="2"/>
        <v>137</v>
      </c>
      <c r="H121" s="32">
        <f t="shared" si="3"/>
        <v>2274.4625000000001</v>
      </c>
      <c r="J121" s="36"/>
      <c r="K121" s="36"/>
      <c r="L121" s="32"/>
      <c r="M121" s="32"/>
      <c r="O121" s="27">
        <v>68.5</v>
      </c>
      <c r="P121" s="26">
        <f t="shared" si="7"/>
        <v>137</v>
      </c>
      <c r="Q121" s="28">
        <f t="shared" si="10"/>
        <v>1658.75</v>
      </c>
    </row>
    <row r="122" spans="2:17" x14ac:dyDescent="0.3">
      <c r="B122" s="31">
        <v>69</v>
      </c>
      <c r="C122" s="36">
        <f t="shared" si="1"/>
        <v>138</v>
      </c>
      <c r="D122" s="28">
        <f t="shared" si="9"/>
        <v>2626.0875000000001</v>
      </c>
      <c r="F122" s="31">
        <v>69</v>
      </c>
      <c r="G122" s="31">
        <f t="shared" si="2"/>
        <v>138</v>
      </c>
      <c r="H122" s="32">
        <f t="shared" si="3"/>
        <v>2293.4749999999999</v>
      </c>
      <c r="J122" s="29">
        <v>69</v>
      </c>
      <c r="K122" s="29">
        <f t="shared" si="4"/>
        <v>138</v>
      </c>
      <c r="L122" s="32">
        <f t="shared" si="5"/>
        <v>2339.1999999999998</v>
      </c>
      <c r="M122" s="32">
        <f t="shared" si="6"/>
        <v>1300.8</v>
      </c>
      <c r="O122" s="27">
        <v>69</v>
      </c>
      <c r="P122" s="27">
        <f t="shared" si="7"/>
        <v>138</v>
      </c>
      <c r="Q122" s="28">
        <f t="shared" si="10"/>
        <v>1672.5</v>
      </c>
    </row>
    <row r="123" spans="2:17" x14ac:dyDescent="0.3">
      <c r="B123" s="31">
        <v>69.5</v>
      </c>
      <c r="C123" s="36">
        <f t="shared" si="1"/>
        <v>139</v>
      </c>
      <c r="D123" s="28">
        <f t="shared" si="9"/>
        <v>2647.9187499999998</v>
      </c>
      <c r="F123" s="36">
        <v>69.5</v>
      </c>
      <c r="G123" s="36">
        <f t="shared" si="2"/>
        <v>139</v>
      </c>
      <c r="H123" s="32">
        <f t="shared" si="3"/>
        <v>2312.4875000000002</v>
      </c>
      <c r="J123" s="36"/>
      <c r="K123" s="36"/>
      <c r="L123" s="32"/>
      <c r="M123" s="32"/>
      <c r="O123" s="26">
        <v>69.5</v>
      </c>
      <c r="P123" s="27">
        <f t="shared" si="7"/>
        <v>139</v>
      </c>
      <c r="Q123" s="34">
        <f t="shared" si="10"/>
        <v>1686.25</v>
      </c>
    </row>
    <row r="124" spans="2:17" x14ac:dyDescent="0.3">
      <c r="B124" s="31">
        <v>70</v>
      </c>
      <c r="C124" s="36">
        <f t="shared" si="1"/>
        <v>140</v>
      </c>
      <c r="D124" s="28">
        <f t="shared" si="9"/>
        <v>2669.75</v>
      </c>
      <c r="F124" s="31">
        <v>70</v>
      </c>
      <c r="G124" s="31">
        <f t="shared" si="2"/>
        <v>140</v>
      </c>
      <c r="H124" s="32">
        <f t="shared" si="3"/>
        <v>2331.5</v>
      </c>
      <c r="J124" s="29">
        <v>70</v>
      </c>
      <c r="K124" s="29">
        <f t="shared" si="4"/>
        <v>140</v>
      </c>
      <c r="L124" s="32">
        <f t="shared" si="5"/>
        <v>2378</v>
      </c>
      <c r="M124" s="32">
        <f t="shared" si="6"/>
        <v>1322</v>
      </c>
      <c r="O124" s="27">
        <v>70</v>
      </c>
      <c r="P124" s="27">
        <f t="shared" si="7"/>
        <v>140</v>
      </c>
      <c r="Q124" s="28">
        <f t="shared" si="10"/>
        <v>1700</v>
      </c>
    </row>
    <row r="125" spans="2:17" x14ac:dyDescent="0.3">
      <c r="B125" s="31">
        <v>70.5</v>
      </c>
      <c r="C125" s="36">
        <f t="shared" si="1"/>
        <v>141</v>
      </c>
      <c r="D125" s="28">
        <f t="shared" si="9"/>
        <v>2691.5812500000002</v>
      </c>
      <c r="F125" s="31">
        <v>70.5</v>
      </c>
      <c r="G125" s="31">
        <f t="shared" si="2"/>
        <v>141</v>
      </c>
      <c r="H125" s="32">
        <f t="shared" si="3"/>
        <v>2350.5124999999998</v>
      </c>
      <c r="J125" s="36"/>
      <c r="K125" s="36"/>
      <c r="L125" s="32"/>
      <c r="M125" s="32"/>
      <c r="O125" s="27">
        <v>70.5</v>
      </c>
      <c r="P125" s="27">
        <f t="shared" si="7"/>
        <v>141</v>
      </c>
      <c r="Q125" s="28">
        <f t="shared" si="10"/>
        <v>1713.75</v>
      </c>
    </row>
    <row r="126" spans="2:17" x14ac:dyDescent="0.3">
      <c r="B126" s="31">
        <v>71</v>
      </c>
      <c r="C126" s="36">
        <f t="shared" si="1"/>
        <v>142</v>
      </c>
      <c r="D126" s="28">
        <f t="shared" si="9"/>
        <v>2713.4124999999999</v>
      </c>
      <c r="F126" s="36">
        <v>71</v>
      </c>
      <c r="G126" s="36">
        <f t="shared" si="2"/>
        <v>142</v>
      </c>
      <c r="H126" s="32">
        <f t="shared" si="3"/>
        <v>2369.5250000000001</v>
      </c>
      <c r="J126" s="29">
        <v>71</v>
      </c>
      <c r="K126" s="29">
        <f t="shared" si="4"/>
        <v>142</v>
      </c>
      <c r="L126" s="32">
        <f t="shared" si="5"/>
        <v>2416.7999999999997</v>
      </c>
      <c r="M126" s="32">
        <f t="shared" si="6"/>
        <v>1343.2</v>
      </c>
      <c r="O126" s="26">
        <v>71</v>
      </c>
      <c r="P126" s="26">
        <f t="shared" si="7"/>
        <v>142</v>
      </c>
      <c r="Q126" s="34">
        <f t="shared" si="10"/>
        <v>1727.5</v>
      </c>
    </row>
    <row r="127" spans="2:17" x14ac:dyDescent="0.3">
      <c r="B127" s="31">
        <v>71.5</v>
      </c>
      <c r="C127" s="36">
        <f t="shared" si="1"/>
        <v>143</v>
      </c>
      <c r="D127" s="28">
        <f t="shared" si="9"/>
        <v>2735.2437500000001</v>
      </c>
      <c r="F127" s="31">
        <v>71.5</v>
      </c>
      <c r="G127" s="31">
        <f t="shared" si="2"/>
        <v>143</v>
      </c>
      <c r="H127" s="32">
        <f t="shared" si="3"/>
        <v>2388.5374999999999</v>
      </c>
      <c r="J127" s="36"/>
      <c r="K127" s="36"/>
      <c r="L127" s="32"/>
      <c r="M127" s="32"/>
      <c r="O127" s="27">
        <v>71.5</v>
      </c>
      <c r="P127" s="27">
        <f t="shared" si="7"/>
        <v>143</v>
      </c>
      <c r="Q127" s="28">
        <f t="shared" si="10"/>
        <v>1741.25</v>
      </c>
    </row>
    <row r="128" spans="2:17" x14ac:dyDescent="0.3">
      <c r="B128" s="31">
        <v>72</v>
      </c>
      <c r="C128" s="36">
        <f t="shared" si="1"/>
        <v>144</v>
      </c>
      <c r="D128" s="28">
        <f t="shared" si="9"/>
        <v>2757.0749999999998</v>
      </c>
      <c r="F128" s="31">
        <v>72</v>
      </c>
      <c r="G128" s="31">
        <f t="shared" si="2"/>
        <v>144</v>
      </c>
      <c r="H128" s="32">
        <f t="shared" si="3"/>
        <v>2407.5500000000002</v>
      </c>
      <c r="J128" s="29">
        <v>72</v>
      </c>
      <c r="K128" s="29">
        <f t="shared" si="4"/>
        <v>144</v>
      </c>
      <c r="L128" s="32">
        <f t="shared" si="5"/>
        <v>2455.6</v>
      </c>
      <c r="M128" s="32">
        <f t="shared" si="6"/>
        <v>1364.3999999999999</v>
      </c>
      <c r="O128" s="27">
        <v>72</v>
      </c>
      <c r="P128" s="27">
        <f t="shared" si="7"/>
        <v>144</v>
      </c>
      <c r="Q128" s="28">
        <f t="shared" si="10"/>
        <v>1755</v>
      </c>
    </row>
    <row r="129" spans="2:17" x14ac:dyDescent="0.3">
      <c r="B129" s="31">
        <v>72.5</v>
      </c>
      <c r="C129" s="36">
        <f t="shared" si="1"/>
        <v>145</v>
      </c>
      <c r="D129" s="28">
        <f t="shared" si="9"/>
        <v>2778.90625</v>
      </c>
      <c r="F129" s="36">
        <v>72.5</v>
      </c>
      <c r="G129" s="36">
        <f t="shared" si="2"/>
        <v>145</v>
      </c>
      <c r="H129" s="32">
        <f t="shared" si="3"/>
        <v>2426.5625</v>
      </c>
      <c r="J129" s="36"/>
      <c r="K129" s="36"/>
      <c r="L129" s="32"/>
      <c r="M129" s="32"/>
      <c r="O129" s="26">
        <v>72.5</v>
      </c>
      <c r="P129" s="26">
        <f t="shared" si="7"/>
        <v>145</v>
      </c>
      <c r="Q129" s="34">
        <f t="shared" si="10"/>
        <v>1768.75</v>
      </c>
    </row>
    <row r="130" spans="2:17" x14ac:dyDescent="0.3">
      <c r="B130" s="31">
        <v>73</v>
      </c>
      <c r="C130" s="36">
        <f t="shared" si="1"/>
        <v>146</v>
      </c>
      <c r="D130" s="28">
        <f t="shared" si="9"/>
        <v>2800.7375000000002</v>
      </c>
      <c r="F130" s="31">
        <v>73</v>
      </c>
      <c r="G130" s="31">
        <f t="shared" si="2"/>
        <v>146</v>
      </c>
      <c r="H130" s="32">
        <f t="shared" si="3"/>
        <v>2445.5749999999998</v>
      </c>
      <c r="J130" s="29">
        <v>73</v>
      </c>
      <c r="K130" s="29">
        <f t="shared" si="4"/>
        <v>146</v>
      </c>
      <c r="L130" s="32">
        <f t="shared" si="5"/>
        <v>2494.3999999999996</v>
      </c>
      <c r="M130" s="32">
        <f t="shared" si="6"/>
        <v>1385.6</v>
      </c>
      <c r="O130" s="27">
        <v>73</v>
      </c>
      <c r="P130" s="27">
        <f t="shared" si="7"/>
        <v>146</v>
      </c>
      <c r="Q130" s="28">
        <f t="shared" si="10"/>
        <v>1782.5</v>
      </c>
    </row>
    <row r="131" spans="2:17" x14ac:dyDescent="0.3">
      <c r="B131" s="31">
        <v>73.5</v>
      </c>
      <c r="C131" s="36">
        <f t="shared" si="1"/>
        <v>147</v>
      </c>
      <c r="D131" s="28">
        <f t="shared" si="9"/>
        <v>2822.5687499999999</v>
      </c>
      <c r="F131" s="31">
        <v>73.5</v>
      </c>
      <c r="G131" s="31">
        <f t="shared" si="2"/>
        <v>147</v>
      </c>
      <c r="H131" s="32">
        <f t="shared" si="3"/>
        <v>2464.5875000000001</v>
      </c>
      <c r="J131" s="36"/>
      <c r="K131" s="36"/>
      <c r="L131" s="32"/>
      <c r="M131" s="32"/>
      <c r="O131" s="27">
        <v>73.5</v>
      </c>
      <c r="P131" s="27">
        <f t="shared" si="7"/>
        <v>147</v>
      </c>
      <c r="Q131" s="28">
        <f t="shared" si="10"/>
        <v>1796.25</v>
      </c>
    </row>
    <row r="132" spans="2:17" x14ac:dyDescent="0.3">
      <c r="B132" s="31">
        <v>74</v>
      </c>
      <c r="C132" s="36">
        <f t="shared" si="1"/>
        <v>148</v>
      </c>
      <c r="D132" s="28">
        <f t="shared" si="9"/>
        <v>2844.4</v>
      </c>
      <c r="F132" s="36">
        <v>74</v>
      </c>
      <c r="G132" s="36">
        <f t="shared" si="2"/>
        <v>148</v>
      </c>
      <c r="H132" s="32">
        <f t="shared" si="3"/>
        <v>2483.6</v>
      </c>
      <c r="J132" s="29">
        <v>74</v>
      </c>
      <c r="K132" s="29">
        <f t="shared" si="4"/>
        <v>148</v>
      </c>
      <c r="L132" s="32">
        <f t="shared" si="5"/>
        <v>2533.1999999999998</v>
      </c>
      <c r="M132" s="32">
        <f t="shared" si="6"/>
        <v>1406.8</v>
      </c>
      <c r="O132" s="26">
        <v>74</v>
      </c>
      <c r="P132" s="27">
        <f t="shared" si="7"/>
        <v>148</v>
      </c>
      <c r="Q132" s="34">
        <f t="shared" si="10"/>
        <v>1810</v>
      </c>
    </row>
    <row r="133" spans="2:17" x14ac:dyDescent="0.3">
      <c r="B133" s="31">
        <v>74.5</v>
      </c>
      <c r="C133" s="36">
        <f t="shared" ref="C133:C163" si="11">(B133*2)</f>
        <v>149</v>
      </c>
      <c r="D133" s="28">
        <f t="shared" ref="D133:D163" si="12">($D$3*($C133-20)/160)+50</f>
        <v>2866.2312499999998</v>
      </c>
      <c r="F133" s="31">
        <v>74.5</v>
      </c>
      <c r="G133" s="31">
        <f t="shared" ref="G133:G164" si="13">(F133*2)</f>
        <v>149</v>
      </c>
      <c r="H133" s="32">
        <f t="shared" ref="H133:H163" si="14">($H$3*($G133-20)/160)+50</f>
        <v>2502.6125000000002</v>
      </c>
      <c r="J133" s="36"/>
      <c r="K133" s="36"/>
      <c r="L133" s="32"/>
      <c r="M133" s="32"/>
      <c r="O133" s="27">
        <v>74.5</v>
      </c>
      <c r="P133" s="27">
        <f t="shared" ref="P133:P164" si="15">(O133*2)</f>
        <v>149</v>
      </c>
      <c r="Q133" s="28">
        <f t="shared" si="10"/>
        <v>1823.75</v>
      </c>
    </row>
    <row r="134" spans="2:17" x14ac:dyDescent="0.3">
      <c r="B134" s="31">
        <v>75</v>
      </c>
      <c r="C134" s="36">
        <f t="shared" si="11"/>
        <v>150</v>
      </c>
      <c r="D134" s="28">
        <f t="shared" si="12"/>
        <v>2888.0625</v>
      </c>
      <c r="F134" s="31">
        <v>75</v>
      </c>
      <c r="G134" s="31">
        <f t="shared" si="13"/>
        <v>150</v>
      </c>
      <c r="H134" s="32">
        <f t="shared" si="14"/>
        <v>2521.625</v>
      </c>
      <c r="J134" s="29">
        <v>75</v>
      </c>
      <c r="K134" s="29">
        <f t="shared" ref="K134:K169" si="16">(J134*2)</f>
        <v>150</v>
      </c>
      <c r="L134" s="32">
        <f t="shared" ref="L134:L164" si="17">(K134-20)*19.4+50</f>
        <v>2572</v>
      </c>
      <c r="M134" s="32">
        <f t="shared" ref="M134:M164" si="18">(K134-20)*10.6+50</f>
        <v>1428</v>
      </c>
      <c r="O134" s="27">
        <v>75</v>
      </c>
      <c r="P134" s="26">
        <f t="shared" si="15"/>
        <v>150</v>
      </c>
      <c r="Q134" s="28">
        <f t="shared" si="10"/>
        <v>1837.5</v>
      </c>
    </row>
    <row r="135" spans="2:17" x14ac:dyDescent="0.3">
      <c r="B135" s="31">
        <v>75.5</v>
      </c>
      <c r="C135" s="36">
        <f t="shared" si="11"/>
        <v>151</v>
      </c>
      <c r="D135" s="28">
        <f t="shared" si="12"/>
        <v>2909.8937500000002</v>
      </c>
      <c r="F135" s="36">
        <v>75.5</v>
      </c>
      <c r="G135" s="36">
        <f t="shared" si="13"/>
        <v>151</v>
      </c>
      <c r="H135" s="32">
        <f t="shared" si="14"/>
        <v>2540.6374999999998</v>
      </c>
      <c r="J135" s="36"/>
      <c r="K135" s="36"/>
      <c r="L135" s="32"/>
      <c r="M135" s="32"/>
      <c r="O135" s="26">
        <v>75.5</v>
      </c>
      <c r="P135" s="27">
        <f t="shared" si="15"/>
        <v>151</v>
      </c>
      <c r="Q135" s="34">
        <f t="shared" ref="Q135:Q164" si="19">(2200*(P135-20)/160)+50</f>
        <v>1851.25</v>
      </c>
    </row>
    <row r="136" spans="2:17" x14ac:dyDescent="0.3">
      <c r="B136" s="31">
        <v>76</v>
      </c>
      <c r="C136" s="36">
        <f t="shared" si="11"/>
        <v>152</v>
      </c>
      <c r="D136" s="28">
        <f t="shared" si="12"/>
        <v>2931.7249999999999</v>
      </c>
      <c r="F136" s="31">
        <v>76</v>
      </c>
      <c r="G136" s="31">
        <f t="shared" si="13"/>
        <v>152</v>
      </c>
      <c r="H136" s="32">
        <f t="shared" si="14"/>
        <v>2559.65</v>
      </c>
      <c r="J136" s="29">
        <v>76</v>
      </c>
      <c r="K136" s="29">
        <f t="shared" si="16"/>
        <v>152</v>
      </c>
      <c r="L136" s="32">
        <f t="shared" si="17"/>
        <v>2610.7999999999997</v>
      </c>
      <c r="M136" s="32">
        <f t="shared" si="18"/>
        <v>1449.2</v>
      </c>
      <c r="O136" s="27">
        <v>76</v>
      </c>
      <c r="P136" s="27">
        <f t="shared" si="15"/>
        <v>152</v>
      </c>
      <c r="Q136" s="28">
        <f t="shared" si="19"/>
        <v>1865</v>
      </c>
    </row>
    <row r="137" spans="2:17" x14ac:dyDescent="0.3">
      <c r="B137" s="31">
        <v>76.5</v>
      </c>
      <c r="C137" s="36">
        <f t="shared" si="11"/>
        <v>153</v>
      </c>
      <c r="D137" s="28">
        <f t="shared" si="12"/>
        <v>2953.5562500000001</v>
      </c>
      <c r="F137" s="31">
        <v>76.5</v>
      </c>
      <c r="G137" s="31">
        <f t="shared" si="13"/>
        <v>153</v>
      </c>
      <c r="H137" s="32">
        <f t="shared" si="14"/>
        <v>2578.6624999999999</v>
      </c>
      <c r="J137" s="36"/>
      <c r="K137" s="36"/>
      <c r="L137" s="32"/>
      <c r="M137" s="32"/>
      <c r="O137" s="27">
        <v>76.5</v>
      </c>
      <c r="P137" s="26">
        <f t="shared" si="15"/>
        <v>153</v>
      </c>
      <c r="Q137" s="28">
        <f t="shared" si="19"/>
        <v>1878.75</v>
      </c>
    </row>
    <row r="138" spans="2:17" x14ac:dyDescent="0.3">
      <c r="B138" s="31">
        <v>77</v>
      </c>
      <c r="C138" s="36">
        <f t="shared" si="11"/>
        <v>154</v>
      </c>
      <c r="D138" s="28">
        <f t="shared" si="12"/>
        <v>2975.3874999999998</v>
      </c>
      <c r="F138" s="36">
        <v>77</v>
      </c>
      <c r="G138" s="36">
        <f t="shared" si="13"/>
        <v>154</v>
      </c>
      <c r="H138" s="32">
        <f t="shared" si="14"/>
        <v>2597.6750000000002</v>
      </c>
      <c r="J138" s="29">
        <v>77</v>
      </c>
      <c r="K138" s="29">
        <f t="shared" si="16"/>
        <v>154</v>
      </c>
      <c r="L138" s="32">
        <f t="shared" si="17"/>
        <v>2649.6</v>
      </c>
      <c r="M138" s="32">
        <f t="shared" si="18"/>
        <v>1470.3999999999999</v>
      </c>
      <c r="O138" s="26">
        <v>77</v>
      </c>
      <c r="P138" s="27">
        <f t="shared" si="15"/>
        <v>154</v>
      </c>
      <c r="Q138" s="34">
        <f t="shared" si="19"/>
        <v>1892.5</v>
      </c>
    </row>
    <row r="139" spans="2:17" x14ac:dyDescent="0.3">
      <c r="B139" s="31">
        <v>77.5</v>
      </c>
      <c r="C139" s="36">
        <f t="shared" si="11"/>
        <v>155</v>
      </c>
      <c r="D139" s="28">
        <f t="shared" si="12"/>
        <v>2997.21875</v>
      </c>
      <c r="F139" s="31">
        <v>77.5</v>
      </c>
      <c r="G139" s="31">
        <f t="shared" si="13"/>
        <v>155</v>
      </c>
      <c r="H139" s="32">
        <f t="shared" si="14"/>
        <v>2616.6875</v>
      </c>
      <c r="J139" s="36"/>
      <c r="K139" s="36"/>
      <c r="L139" s="32"/>
      <c r="M139" s="32"/>
      <c r="O139" s="27">
        <v>77.5</v>
      </c>
      <c r="P139" s="27">
        <f t="shared" si="15"/>
        <v>155</v>
      </c>
      <c r="Q139" s="28">
        <f t="shared" si="19"/>
        <v>1906.25</v>
      </c>
    </row>
    <row r="140" spans="2:17" x14ac:dyDescent="0.3">
      <c r="B140" s="31">
        <v>78</v>
      </c>
      <c r="C140" s="36">
        <f t="shared" si="11"/>
        <v>156</v>
      </c>
      <c r="D140" s="28">
        <f t="shared" si="12"/>
        <v>3019.05</v>
      </c>
      <c r="F140" s="31">
        <v>78</v>
      </c>
      <c r="G140" s="31">
        <f t="shared" si="13"/>
        <v>156</v>
      </c>
      <c r="H140" s="32">
        <f t="shared" si="14"/>
        <v>2635.7</v>
      </c>
      <c r="J140" s="29">
        <v>78</v>
      </c>
      <c r="K140" s="29">
        <f t="shared" si="16"/>
        <v>156</v>
      </c>
      <c r="L140" s="32">
        <f t="shared" si="17"/>
        <v>2688.3999999999996</v>
      </c>
      <c r="M140" s="32">
        <f t="shared" si="18"/>
        <v>1491.6</v>
      </c>
      <c r="O140" s="27">
        <v>78</v>
      </c>
      <c r="P140" s="27">
        <f t="shared" si="15"/>
        <v>156</v>
      </c>
      <c r="Q140" s="28">
        <f t="shared" si="19"/>
        <v>1920</v>
      </c>
    </row>
    <row r="141" spans="2:17" x14ac:dyDescent="0.3">
      <c r="B141" s="31">
        <v>78.5</v>
      </c>
      <c r="C141" s="36">
        <f t="shared" si="11"/>
        <v>157</v>
      </c>
      <c r="D141" s="28">
        <f t="shared" si="12"/>
        <v>3040.8812499999999</v>
      </c>
      <c r="F141" s="36">
        <v>78.5</v>
      </c>
      <c r="G141" s="36">
        <f t="shared" si="13"/>
        <v>157</v>
      </c>
      <c r="H141" s="32">
        <f t="shared" si="14"/>
        <v>2654.7125000000001</v>
      </c>
      <c r="J141" s="36"/>
      <c r="K141" s="36"/>
      <c r="L141" s="32"/>
      <c r="M141" s="32"/>
      <c r="O141" s="26">
        <v>78.5</v>
      </c>
      <c r="P141" s="27">
        <f t="shared" si="15"/>
        <v>157</v>
      </c>
      <c r="Q141" s="34">
        <f t="shared" si="19"/>
        <v>1933.75</v>
      </c>
    </row>
    <row r="142" spans="2:17" x14ac:dyDescent="0.3">
      <c r="B142" s="31">
        <v>79</v>
      </c>
      <c r="C142" s="36">
        <f t="shared" si="11"/>
        <v>158</v>
      </c>
      <c r="D142" s="28">
        <f t="shared" si="12"/>
        <v>3062.7125000000001</v>
      </c>
      <c r="F142" s="31">
        <v>79</v>
      </c>
      <c r="G142" s="31">
        <f t="shared" si="13"/>
        <v>158</v>
      </c>
      <c r="H142" s="32">
        <f t="shared" si="14"/>
        <v>2673.7249999999999</v>
      </c>
      <c r="J142" s="29">
        <v>79</v>
      </c>
      <c r="K142" s="29">
        <f t="shared" si="16"/>
        <v>158</v>
      </c>
      <c r="L142" s="32">
        <f t="shared" si="17"/>
        <v>2727.2</v>
      </c>
      <c r="M142" s="32">
        <f t="shared" si="18"/>
        <v>1512.8</v>
      </c>
      <c r="O142" s="27">
        <v>79</v>
      </c>
      <c r="P142" s="26">
        <f t="shared" si="15"/>
        <v>158</v>
      </c>
      <c r="Q142" s="28">
        <f t="shared" si="19"/>
        <v>1947.5</v>
      </c>
    </row>
    <row r="143" spans="2:17" x14ac:dyDescent="0.3">
      <c r="B143" s="31">
        <v>79.5</v>
      </c>
      <c r="C143" s="36">
        <f t="shared" si="11"/>
        <v>159</v>
      </c>
      <c r="D143" s="28">
        <f t="shared" si="12"/>
        <v>3084.5437499999998</v>
      </c>
      <c r="F143" s="31">
        <v>79.5</v>
      </c>
      <c r="G143" s="31">
        <f t="shared" si="13"/>
        <v>159</v>
      </c>
      <c r="H143" s="32">
        <f t="shared" si="14"/>
        <v>2692.7375000000002</v>
      </c>
      <c r="J143" s="36"/>
      <c r="K143" s="36"/>
      <c r="L143" s="32"/>
      <c r="M143" s="32"/>
      <c r="O143" s="27">
        <v>79.5</v>
      </c>
      <c r="P143" s="27">
        <f t="shared" si="15"/>
        <v>159</v>
      </c>
      <c r="Q143" s="28">
        <f t="shared" si="19"/>
        <v>1961.25</v>
      </c>
    </row>
    <row r="144" spans="2:17" x14ac:dyDescent="0.3">
      <c r="B144" s="31">
        <v>80</v>
      </c>
      <c r="C144" s="36">
        <f t="shared" si="11"/>
        <v>160</v>
      </c>
      <c r="D144" s="28">
        <f t="shared" si="12"/>
        <v>3106.375</v>
      </c>
      <c r="F144" s="36">
        <v>80</v>
      </c>
      <c r="G144" s="36">
        <f t="shared" si="13"/>
        <v>160</v>
      </c>
      <c r="H144" s="32">
        <f t="shared" si="14"/>
        <v>2711.75</v>
      </c>
      <c r="J144" s="29">
        <v>80</v>
      </c>
      <c r="K144" s="29">
        <f t="shared" si="16"/>
        <v>160</v>
      </c>
      <c r="L144" s="32">
        <f t="shared" si="17"/>
        <v>2766</v>
      </c>
      <c r="M144" s="32">
        <f t="shared" si="18"/>
        <v>1534</v>
      </c>
      <c r="O144" s="26">
        <v>80</v>
      </c>
      <c r="P144" s="27">
        <f t="shared" si="15"/>
        <v>160</v>
      </c>
      <c r="Q144" s="34">
        <f t="shared" si="19"/>
        <v>1975</v>
      </c>
    </row>
    <row r="145" spans="2:17" x14ac:dyDescent="0.3">
      <c r="B145" s="31">
        <v>80.5</v>
      </c>
      <c r="C145" s="36">
        <f t="shared" si="11"/>
        <v>161</v>
      </c>
      <c r="D145" s="28">
        <f t="shared" si="12"/>
        <v>3128.2062500000002</v>
      </c>
      <c r="F145" s="31">
        <v>80.5</v>
      </c>
      <c r="G145" s="31">
        <f t="shared" si="13"/>
        <v>161</v>
      </c>
      <c r="H145" s="32">
        <f t="shared" si="14"/>
        <v>2730.7624999999998</v>
      </c>
      <c r="J145" s="36"/>
      <c r="K145" s="36"/>
      <c r="L145" s="32"/>
      <c r="M145" s="32"/>
      <c r="O145" s="27">
        <v>80.5</v>
      </c>
      <c r="P145" s="26">
        <f t="shared" si="15"/>
        <v>161</v>
      </c>
      <c r="Q145" s="28">
        <f t="shared" si="19"/>
        <v>1988.75</v>
      </c>
    </row>
    <row r="146" spans="2:17" x14ac:dyDescent="0.3">
      <c r="B146" s="31">
        <v>81</v>
      </c>
      <c r="C146" s="36">
        <f t="shared" si="11"/>
        <v>162</v>
      </c>
      <c r="D146" s="28">
        <f t="shared" si="12"/>
        <v>3150.0374999999999</v>
      </c>
      <c r="F146" s="31">
        <v>81</v>
      </c>
      <c r="G146" s="31">
        <f t="shared" si="13"/>
        <v>162</v>
      </c>
      <c r="H146" s="32">
        <f t="shared" si="14"/>
        <v>2749.7750000000001</v>
      </c>
      <c r="J146" s="33">
        <v>81</v>
      </c>
      <c r="K146" s="33">
        <f t="shared" si="16"/>
        <v>162</v>
      </c>
      <c r="L146" s="32">
        <f t="shared" si="17"/>
        <v>2804.7999999999997</v>
      </c>
      <c r="M146" s="32">
        <f t="shared" si="18"/>
        <v>1555.2</v>
      </c>
      <c r="O146" s="27">
        <v>81</v>
      </c>
      <c r="P146" s="27">
        <f t="shared" si="15"/>
        <v>162</v>
      </c>
      <c r="Q146" s="28">
        <f t="shared" si="19"/>
        <v>2002.5</v>
      </c>
    </row>
    <row r="147" spans="2:17" x14ac:dyDescent="0.3">
      <c r="B147" s="31">
        <v>81.5</v>
      </c>
      <c r="C147" s="36">
        <f t="shared" si="11"/>
        <v>163</v>
      </c>
      <c r="D147" s="28">
        <f t="shared" si="12"/>
        <v>3171.8687500000001</v>
      </c>
      <c r="F147" s="36">
        <v>81.5</v>
      </c>
      <c r="G147" s="36">
        <f t="shared" si="13"/>
        <v>163</v>
      </c>
      <c r="H147" s="32">
        <f t="shared" si="14"/>
        <v>2768.7874999999999</v>
      </c>
      <c r="J147" s="33"/>
      <c r="K147" s="33"/>
      <c r="L147" s="32"/>
      <c r="M147" s="32"/>
      <c r="O147" s="26">
        <v>81.5</v>
      </c>
      <c r="P147" s="27">
        <f t="shared" si="15"/>
        <v>163</v>
      </c>
      <c r="Q147" s="34">
        <f t="shared" si="19"/>
        <v>2016.25</v>
      </c>
    </row>
    <row r="148" spans="2:17" x14ac:dyDescent="0.3">
      <c r="B148" s="31">
        <v>82</v>
      </c>
      <c r="C148" s="36">
        <f t="shared" si="11"/>
        <v>164</v>
      </c>
      <c r="D148" s="28">
        <f t="shared" si="12"/>
        <v>3193.7</v>
      </c>
      <c r="F148" s="31">
        <v>82</v>
      </c>
      <c r="G148" s="31">
        <f t="shared" si="13"/>
        <v>164</v>
      </c>
      <c r="H148" s="32">
        <f t="shared" si="14"/>
        <v>2787.8</v>
      </c>
      <c r="J148" s="29">
        <v>82</v>
      </c>
      <c r="K148" s="29">
        <f t="shared" si="16"/>
        <v>164</v>
      </c>
      <c r="L148" s="32">
        <f t="shared" si="17"/>
        <v>2843.6</v>
      </c>
      <c r="M148" s="32">
        <f t="shared" si="18"/>
        <v>1576.3999999999999</v>
      </c>
      <c r="O148" s="27">
        <v>82</v>
      </c>
      <c r="P148" s="27">
        <f t="shared" si="15"/>
        <v>164</v>
      </c>
      <c r="Q148" s="28">
        <f t="shared" si="19"/>
        <v>2030</v>
      </c>
    </row>
    <row r="149" spans="2:17" x14ac:dyDescent="0.3">
      <c r="B149" s="31">
        <v>82.5</v>
      </c>
      <c r="C149" s="36">
        <f t="shared" si="11"/>
        <v>165</v>
      </c>
      <c r="D149" s="28">
        <f t="shared" si="12"/>
        <v>3215.53125</v>
      </c>
      <c r="F149" s="31">
        <v>82.5</v>
      </c>
      <c r="G149" s="31">
        <f t="shared" si="13"/>
        <v>165</v>
      </c>
      <c r="H149" s="32">
        <f t="shared" si="14"/>
        <v>2806.8125</v>
      </c>
      <c r="J149" s="36"/>
      <c r="K149" s="36"/>
      <c r="L149" s="32"/>
      <c r="M149" s="32"/>
      <c r="O149" s="27">
        <v>82.5</v>
      </c>
      <c r="P149" s="27">
        <f t="shared" si="15"/>
        <v>165</v>
      </c>
      <c r="Q149" s="28">
        <f t="shared" si="19"/>
        <v>2043.75</v>
      </c>
    </row>
    <row r="150" spans="2:17" x14ac:dyDescent="0.3">
      <c r="B150" s="31">
        <v>83</v>
      </c>
      <c r="C150" s="36">
        <f t="shared" si="11"/>
        <v>166</v>
      </c>
      <c r="D150" s="28">
        <f t="shared" si="12"/>
        <v>3237.3625000000002</v>
      </c>
      <c r="F150" s="36">
        <v>83</v>
      </c>
      <c r="G150" s="36">
        <f t="shared" si="13"/>
        <v>166</v>
      </c>
      <c r="H150" s="32">
        <f t="shared" si="14"/>
        <v>2825.8249999999998</v>
      </c>
      <c r="J150" s="29">
        <v>83</v>
      </c>
      <c r="K150" s="29">
        <f t="shared" si="16"/>
        <v>166</v>
      </c>
      <c r="L150" s="32">
        <f t="shared" si="17"/>
        <v>2882.3999999999996</v>
      </c>
      <c r="M150" s="32">
        <f t="shared" si="18"/>
        <v>1597.6</v>
      </c>
      <c r="O150" s="26">
        <v>83</v>
      </c>
      <c r="P150" s="26">
        <f t="shared" si="15"/>
        <v>166</v>
      </c>
      <c r="Q150" s="34">
        <f t="shared" si="19"/>
        <v>2057.5</v>
      </c>
    </row>
    <row r="151" spans="2:17" x14ac:dyDescent="0.3">
      <c r="B151" s="31">
        <v>83.5</v>
      </c>
      <c r="C151" s="36">
        <f t="shared" si="11"/>
        <v>167</v>
      </c>
      <c r="D151" s="28">
        <f t="shared" si="12"/>
        <v>3259.1937499999999</v>
      </c>
      <c r="F151" s="31">
        <v>83.5</v>
      </c>
      <c r="G151" s="31">
        <f t="shared" si="13"/>
        <v>167</v>
      </c>
      <c r="H151" s="32">
        <f t="shared" si="14"/>
        <v>2844.8375000000001</v>
      </c>
      <c r="J151" s="36"/>
      <c r="K151" s="36"/>
      <c r="L151" s="32"/>
      <c r="M151" s="32"/>
      <c r="O151" s="27">
        <v>83.5</v>
      </c>
      <c r="P151" s="27">
        <f t="shared" si="15"/>
        <v>167</v>
      </c>
      <c r="Q151" s="28">
        <f t="shared" si="19"/>
        <v>2071.25</v>
      </c>
    </row>
    <row r="152" spans="2:17" x14ac:dyDescent="0.3">
      <c r="B152" s="31">
        <v>84</v>
      </c>
      <c r="C152" s="36">
        <f t="shared" si="11"/>
        <v>168</v>
      </c>
      <c r="D152" s="28">
        <f t="shared" si="12"/>
        <v>3281.0250000000001</v>
      </c>
      <c r="F152" s="31">
        <v>84</v>
      </c>
      <c r="G152" s="31">
        <f t="shared" si="13"/>
        <v>168</v>
      </c>
      <c r="H152" s="32">
        <f t="shared" si="14"/>
        <v>2863.85</v>
      </c>
      <c r="J152" s="29">
        <v>84</v>
      </c>
      <c r="K152" s="29">
        <f t="shared" si="16"/>
        <v>168</v>
      </c>
      <c r="L152" s="32">
        <f t="shared" si="17"/>
        <v>2921.2</v>
      </c>
      <c r="M152" s="32">
        <f t="shared" si="18"/>
        <v>1618.8</v>
      </c>
      <c r="O152" s="27">
        <v>84</v>
      </c>
      <c r="P152" s="27">
        <f t="shared" si="15"/>
        <v>168</v>
      </c>
      <c r="Q152" s="28">
        <f t="shared" si="19"/>
        <v>2085</v>
      </c>
    </row>
    <row r="153" spans="2:17" x14ac:dyDescent="0.3">
      <c r="B153" s="31">
        <v>84.5</v>
      </c>
      <c r="C153" s="36">
        <f t="shared" si="11"/>
        <v>169</v>
      </c>
      <c r="D153" s="28">
        <f t="shared" si="12"/>
        <v>3302.8562499999998</v>
      </c>
      <c r="F153" s="36">
        <v>84.5</v>
      </c>
      <c r="G153" s="36">
        <f t="shared" si="13"/>
        <v>169</v>
      </c>
      <c r="H153" s="32">
        <f t="shared" si="14"/>
        <v>2882.8625000000002</v>
      </c>
      <c r="J153" s="36"/>
      <c r="K153" s="36"/>
      <c r="L153" s="32"/>
      <c r="M153" s="32"/>
      <c r="O153" s="26">
        <v>84.5</v>
      </c>
      <c r="P153" s="26">
        <f t="shared" si="15"/>
        <v>169</v>
      </c>
      <c r="Q153" s="34">
        <f t="shared" si="19"/>
        <v>2098.75</v>
      </c>
    </row>
    <row r="154" spans="2:17" x14ac:dyDescent="0.3">
      <c r="B154" s="31">
        <v>85</v>
      </c>
      <c r="C154" s="36">
        <f t="shared" si="11"/>
        <v>170</v>
      </c>
      <c r="D154" s="28">
        <f t="shared" si="12"/>
        <v>3324.6875</v>
      </c>
      <c r="F154" s="31">
        <v>85</v>
      </c>
      <c r="G154" s="31">
        <f t="shared" si="13"/>
        <v>170</v>
      </c>
      <c r="H154" s="32">
        <f t="shared" si="14"/>
        <v>2901.875</v>
      </c>
      <c r="J154" s="29">
        <v>85</v>
      </c>
      <c r="K154" s="29">
        <f t="shared" si="16"/>
        <v>170</v>
      </c>
      <c r="L154" s="32">
        <f t="shared" si="17"/>
        <v>2960</v>
      </c>
      <c r="M154" s="32">
        <f t="shared" si="18"/>
        <v>1640</v>
      </c>
      <c r="O154" s="27">
        <v>85</v>
      </c>
      <c r="P154" s="27">
        <f t="shared" si="15"/>
        <v>170</v>
      </c>
      <c r="Q154" s="28">
        <f t="shared" si="19"/>
        <v>2112.5</v>
      </c>
    </row>
    <row r="155" spans="2:17" x14ac:dyDescent="0.3">
      <c r="B155" s="31">
        <v>85.5</v>
      </c>
      <c r="C155" s="36">
        <f t="shared" si="11"/>
        <v>171</v>
      </c>
      <c r="D155" s="28">
        <f t="shared" si="12"/>
        <v>3346.5187500000002</v>
      </c>
      <c r="F155" s="31">
        <v>85.5</v>
      </c>
      <c r="G155" s="31">
        <f t="shared" si="13"/>
        <v>171</v>
      </c>
      <c r="H155" s="32">
        <f t="shared" si="14"/>
        <v>2920.8874999999998</v>
      </c>
      <c r="J155" s="36"/>
      <c r="K155" s="36"/>
      <c r="L155" s="32"/>
      <c r="M155" s="32"/>
      <c r="O155" s="27">
        <v>85.5</v>
      </c>
      <c r="P155" s="27">
        <f t="shared" si="15"/>
        <v>171</v>
      </c>
      <c r="Q155" s="28">
        <f t="shared" si="19"/>
        <v>2126.25</v>
      </c>
    </row>
    <row r="156" spans="2:17" x14ac:dyDescent="0.3">
      <c r="B156" s="31">
        <v>86</v>
      </c>
      <c r="C156" s="36">
        <f t="shared" si="11"/>
        <v>172</v>
      </c>
      <c r="D156" s="28">
        <f t="shared" si="12"/>
        <v>3368.35</v>
      </c>
      <c r="F156" s="36">
        <v>86</v>
      </c>
      <c r="G156" s="36">
        <f t="shared" si="13"/>
        <v>172</v>
      </c>
      <c r="H156" s="32">
        <f t="shared" si="14"/>
        <v>2939.9</v>
      </c>
      <c r="J156" s="29">
        <v>86</v>
      </c>
      <c r="K156" s="29">
        <f t="shared" si="16"/>
        <v>172</v>
      </c>
      <c r="L156" s="32">
        <f t="shared" si="17"/>
        <v>2998.7999999999997</v>
      </c>
      <c r="M156" s="32">
        <f t="shared" si="18"/>
        <v>1661.2</v>
      </c>
      <c r="O156" s="26">
        <v>86</v>
      </c>
      <c r="P156" s="27">
        <f t="shared" si="15"/>
        <v>172</v>
      </c>
      <c r="Q156" s="34">
        <f t="shared" si="19"/>
        <v>2140</v>
      </c>
    </row>
    <row r="157" spans="2:17" x14ac:dyDescent="0.3">
      <c r="B157" s="31">
        <v>86.5</v>
      </c>
      <c r="C157" s="36">
        <f t="shared" si="11"/>
        <v>173</v>
      </c>
      <c r="D157" s="28">
        <f t="shared" si="12"/>
        <v>3390.1812500000001</v>
      </c>
      <c r="F157" s="31">
        <v>86.5</v>
      </c>
      <c r="G157" s="31">
        <f t="shared" si="13"/>
        <v>173</v>
      </c>
      <c r="H157" s="32">
        <f t="shared" si="14"/>
        <v>2958.9124999999999</v>
      </c>
      <c r="J157" s="36"/>
      <c r="K157" s="36"/>
      <c r="L157" s="32"/>
      <c r="M157" s="32"/>
      <c r="O157" s="27">
        <v>86.5</v>
      </c>
      <c r="P157" s="27">
        <f t="shared" si="15"/>
        <v>173</v>
      </c>
      <c r="Q157" s="28">
        <f t="shared" si="19"/>
        <v>2153.75</v>
      </c>
    </row>
    <row r="158" spans="2:17" x14ac:dyDescent="0.3">
      <c r="B158" s="31">
        <v>87</v>
      </c>
      <c r="C158" s="36">
        <f t="shared" si="11"/>
        <v>174</v>
      </c>
      <c r="D158" s="28">
        <f t="shared" si="12"/>
        <v>3412.0124999999998</v>
      </c>
      <c r="F158" s="31">
        <v>87</v>
      </c>
      <c r="G158" s="31">
        <f t="shared" si="13"/>
        <v>174</v>
      </c>
      <c r="H158" s="32">
        <f t="shared" si="14"/>
        <v>2977.9250000000002</v>
      </c>
      <c r="J158" s="29">
        <v>87</v>
      </c>
      <c r="K158" s="29">
        <f t="shared" si="16"/>
        <v>174</v>
      </c>
      <c r="L158" s="32">
        <f t="shared" si="17"/>
        <v>3037.6</v>
      </c>
      <c r="M158" s="32">
        <f t="shared" si="18"/>
        <v>1682.3999999999999</v>
      </c>
      <c r="O158" s="27">
        <v>87</v>
      </c>
      <c r="P158" s="26">
        <f t="shared" si="15"/>
        <v>174</v>
      </c>
      <c r="Q158" s="28">
        <f t="shared" si="19"/>
        <v>2167.5</v>
      </c>
    </row>
    <row r="159" spans="2:17" x14ac:dyDescent="0.3">
      <c r="B159" s="31">
        <v>87.5</v>
      </c>
      <c r="C159" s="36">
        <f t="shared" si="11"/>
        <v>175</v>
      </c>
      <c r="D159" s="28">
        <f t="shared" si="12"/>
        <v>3433.84375</v>
      </c>
      <c r="F159" s="36">
        <v>87.5</v>
      </c>
      <c r="G159" s="36">
        <f t="shared" si="13"/>
        <v>175</v>
      </c>
      <c r="H159" s="32">
        <f t="shared" si="14"/>
        <v>2996.9375</v>
      </c>
      <c r="J159" s="36"/>
      <c r="K159" s="36"/>
      <c r="L159" s="32"/>
      <c r="M159" s="32"/>
      <c r="O159" s="26">
        <v>87.5</v>
      </c>
      <c r="P159" s="27">
        <f t="shared" si="15"/>
        <v>175</v>
      </c>
      <c r="Q159" s="34">
        <f t="shared" si="19"/>
        <v>2181.25</v>
      </c>
    </row>
    <row r="160" spans="2:17" x14ac:dyDescent="0.3">
      <c r="B160" s="31">
        <v>88</v>
      </c>
      <c r="C160" s="36">
        <f t="shared" si="11"/>
        <v>176</v>
      </c>
      <c r="D160" s="28">
        <f t="shared" si="12"/>
        <v>3455.6750000000002</v>
      </c>
      <c r="F160" s="31">
        <v>88</v>
      </c>
      <c r="G160" s="31">
        <f t="shared" si="13"/>
        <v>176</v>
      </c>
      <c r="H160" s="32">
        <f t="shared" si="14"/>
        <v>3015.95</v>
      </c>
      <c r="J160" s="29">
        <v>88</v>
      </c>
      <c r="K160" s="29">
        <f t="shared" si="16"/>
        <v>176</v>
      </c>
      <c r="L160" s="32">
        <f t="shared" si="17"/>
        <v>3076.3999999999996</v>
      </c>
      <c r="M160" s="32">
        <f t="shared" si="18"/>
        <v>1703.6</v>
      </c>
      <c r="O160" s="27">
        <v>88</v>
      </c>
      <c r="P160" s="27">
        <f t="shared" si="15"/>
        <v>176</v>
      </c>
      <c r="Q160" s="28">
        <f t="shared" si="19"/>
        <v>2195</v>
      </c>
    </row>
    <row r="161" spans="2:17" x14ac:dyDescent="0.3">
      <c r="B161" s="31">
        <v>88.5</v>
      </c>
      <c r="C161" s="36">
        <f t="shared" si="11"/>
        <v>177</v>
      </c>
      <c r="D161" s="28">
        <f t="shared" si="12"/>
        <v>3477.5062499999999</v>
      </c>
      <c r="F161" s="31">
        <v>88.5</v>
      </c>
      <c r="G161" s="31">
        <f t="shared" si="13"/>
        <v>177</v>
      </c>
      <c r="H161" s="32">
        <f t="shared" si="14"/>
        <v>3034.9625000000001</v>
      </c>
      <c r="J161" s="36"/>
      <c r="K161" s="36"/>
      <c r="L161" s="32"/>
      <c r="M161" s="32"/>
      <c r="O161" s="27">
        <v>88.5</v>
      </c>
      <c r="P161" s="26">
        <f t="shared" si="15"/>
        <v>177</v>
      </c>
      <c r="Q161" s="28">
        <f t="shared" si="19"/>
        <v>2208.75</v>
      </c>
    </row>
    <row r="162" spans="2:17" x14ac:dyDescent="0.3">
      <c r="B162" s="31">
        <v>89</v>
      </c>
      <c r="C162" s="36">
        <f t="shared" si="11"/>
        <v>178</v>
      </c>
      <c r="D162" s="28">
        <f t="shared" si="12"/>
        <v>3499.3375000000001</v>
      </c>
      <c r="F162" s="36">
        <v>89</v>
      </c>
      <c r="G162" s="36">
        <f t="shared" si="13"/>
        <v>178</v>
      </c>
      <c r="H162" s="32">
        <f t="shared" si="14"/>
        <v>3053.9749999999999</v>
      </c>
      <c r="J162" s="29">
        <v>89</v>
      </c>
      <c r="K162" s="29">
        <f t="shared" si="16"/>
        <v>178</v>
      </c>
      <c r="L162" s="32">
        <f t="shared" si="17"/>
        <v>3115.2</v>
      </c>
      <c r="M162" s="32">
        <f t="shared" si="18"/>
        <v>1724.8</v>
      </c>
      <c r="O162" s="26">
        <v>89</v>
      </c>
      <c r="P162" s="27">
        <f t="shared" si="15"/>
        <v>178</v>
      </c>
      <c r="Q162" s="34">
        <f t="shared" si="19"/>
        <v>2222.5</v>
      </c>
    </row>
    <row r="163" spans="2:17" x14ac:dyDescent="0.3">
      <c r="B163" s="31">
        <v>89.5</v>
      </c>
      <c r="C163" s="36">
        <f t="shared" si="11"/>
        <v>179</v>
      </c>
      <c r="D163" s="28">
        <f t="shared" si="12"/>
        <v>3521.1687499999998</v>
      </c>
      <c r="F163" s="31">
        <v>89.5</v>
      </c>
      <c r="G163" s="31">
        <f t="shared" si="13"/>
        <v>179</v>
      </c>
      <c r="H163" s="32">
        <f t="shared" si="14"/>
        <v>3072.9875000000002</v>
      </c>
      <c r="J163" s="36"/>
      <c r="K163" s="36"/>
      <c r="L163" s="32"/>
      <c r="M163" s="32"/>
      <c r="O163" s="27">
        <v>89.5</v>
      </c>
      <c r="P163" s="27">
        <f t="shared" si="15"/>
        <v>179</v>
      </c>
      <c r="Q163" s="28">
        <f t="shared" si="19"/>
        <v>2236.25</v>
      </c>
    </row>
    <row r="164" spans="2:17" x14ac:dyDescent="0.3">
      <c r="B164" s="33">
        <v>90</v>
      </c>
      <c r="C164" s="33">
        <f t="shared" ref="C164:C170" si="20">(B164*2)</f>
        <v>180</v>
      </c>
      <c r="D164" s="32">
        <v>3600</v>
      </c>
      <c r="F164" s="31">
        <v>90</v>
      </c>
      <c r="G164" s="31">
        <f t="shared" si="13"/>
        <v>180</v>
      </c>
      <c r="H164" s="32">
        <v>3100</v>
      </c>
      <c r="J164" s="33">
        <v>90</v>
      </c>
      <c r="K164" s="33">
        <f t="shared" si="16"/>
        <v>180</v>
      </c>
      <c r="L164" s="32">
        <f t="shared" si="17"/>
        <v>3154</v>
      </c>
      <c r="M164" s="32">
        <f t="shared" si="18"/>
        <v>1746</v>
      </c>
      <c r="O164" s="27">
        <v>90</v>
      </c>
      <c r="P164" s="27">
        <f t="shared" si="15"/>
        <v>180</v>
      </c>
      <c r="Q164" s="28">
        <f t="shared" si="19"/>
        <v>2250</v>
      </c>
    </row>
    <row r="165" spans="2:17" x14ac:dyDescent="0.3">
      <c r="B165" s="66" t="s">
        <v>81</v>
      </c>
      <c r="C165" s="67"/>
      <c r="D165" s="68"/>
      <c r="F165" s="66" t="s">
        <v>80</v>
      </c>
      <c r="G165" s="67"/>
      <c r="H165" s="68"/>
      <c r="J165" s="29">
        <v>91</v>
      </c>
      <c r="K165" s="29">
        <f t="shared" si="16"/>
        <v>182</v>
      </c>
      <c r="L165" s="29">
        <v>3600</v>
      </c>
      <c r="M165" s="29">
        <v>1966</v>
      </c>
      <c r="O165" s="26">
        <v>91</v>
      </c>
      <c r="P165" s="26">
        <v>2250</v>
      </c>
      <c r="Q165" s="26">
        <v>2250</v>
      </c>
    </row>
    <row r="166" spans="2:17" x14ac:dyDescent="0.3">
      <c r="B166" s="29">
        <v>91</v>
      </c>
      <c r="C166" s="29">
        <f t="shared" si="20"/>
        <v>182</v>
      </c>
      <c r="D166" s="32">
        <v>3600</v>
      </c>
      <c r="F166" s="29">
        <v>91</v>
      </c>
      <c r="G166" s="29">
        <f t="shared" ref="G166:G170" si="21">(F166*2)</f>
        <v>182</v>
      </c>
      <c r="H166" s="32">
        <f t="shared" ref="H166" si="22">H164</f>
        <v>3100</v>
      </c>
      <c r="J166" s="29">
        <v>92</v>
      </c>
      <c r="K166" s="29">
        <f t="shared" si="16"/>
        <v>184</v>
      </c>
      <c r="L166" s="29">
        <v>3600</v>
      </c>
      <c r="M166" s="29">
        <v>1966</v>
      </c>
      <c r="O166" s="26">
        <v>92</v>
      </c>
      <c r="P166" s="26">
        <v>2250</v>
      </c>
      <c r="Q166" s="26">
        <v>2250</v>
      </c>
    </row>
    <row r="167" spans="2:17" x14ac:dyDescent="0.3">
      <c r="B167" s="29">
        <v>92</v>
      </c>
      <c r="C167" s="29">
        <f t="shared" si="20"/>
        <v>184</v>
      </c>
      <c r="D167" s="32">
        <v>3600</v>
      </c>
      <c r="F167" s="29">
        <v>92</v>
      </c>
      <c r="G167" s="29">
        <f t="shared" si="21"/>
        <v>184</v>
      </c>
      <c r="H167" s="32">
        <f t="shared" ref="H167:H170" si="23">H166</f>
        <v>3100</v>
      </c>
      <c r="J167" s="29">
        <v>93</v>
      </c>
      <c r="K167" s="29">
        <f t="shared" si="16"/>
        <v>186</v>
      </c>
      <c r="L167" s="29">
        <v>3600</v>
      </c>
      <c r="M167" s="29">
        <v>1966</v>
      </c>
      <c r="O167" s="26">
        <v>93</v>
      </c>
      <c r="P167" s="26">
        <v>2250</v>
      </c>
      <c r="Q167" s="26">
        <v>2250</v>
      </c>
    </row>
    <row r="168" spans="2:17" x14ac:dyDescent="0.3">
      <c r="B168" s="29">
        <v>93</v>
      </c>
      <c r="C168" s="29">
        <f t="shared" si="20"/>
        <v>186</v>
      </c>
      <c r="D168" s="32">
        <v>3600</v>
      </c>
      <c r="F168" s="29">
        <v>93</v>
      </c>
      <c r="G168" s="29">
        <f t="shared" si="21"/>
        <v>186</v>
      </c>
      <c r="H168" s="32">
        <f t="shared" si="23"/>
        <v>3100</v>
      </c>
      <c r="J168" s="29">
        <v>94</v>
      </c>
      <c r="K168" s="29">
        <f t="shared" si="16"/>
        <v>188</v>
      </c>
      <c r="L168" s="29">
        <v>3600</v>
      </c>
      <c r="M168" s="29">
        <v>1966</v>
      </c>
      <c r="O168" s="26">
        <v>94</v>
      </c>
      <c r="P168" s="26">
        <v>2250</v>
      </c>
      <c r="Q168" s="26">
        <v>2250</v>
      </c>
    </row>
    <row r="169" spans="2:17" x14ac:dyDescent="0.3">
      <c r="B169" s="29">
        <v>94</v>
      </c>
      <c r="C169" s="29">
        <f t="shared" si="20"/>
        <v>188</v>
      </c>
      <c r="D169" s="32">
        <v>3600</v>
      </c>
      <c r="F169" s="29">
        <v>94</v>
      </c>
      <c r="G169" s="29">
        <f t="shared" si="21"/>
        <v>188</v>
      </c>
      <c r="H169" s="32">
        <f t="shared" si="23"/>
        <v>3100</v>
      </c>
      <c r="J169" s="29">
        <v>95</v>
      </c>
      <c r="K169" s="29">
        <f t="shared" si="16"/>
        <v>190</v>
      </c>
      <c r="L169" s="29">
        <v>3600</v>
      </c>
      <c r="M169" s="29">
        <v>1966</v>
      </c>
      <c r="O169" s="26">
        <v>95</v>
      </c>
      <c r="P169" s="26">
        <v>2250</v>
      </c>
      <c r="Q169" s="26">
        <v>2250</v>
      </c>
    </row>
    <row r="170" spans="2:17" x14ac:dyDescent="0.3">
      <c r="B170" s="29">
        <v>95</v>
      </c>
      <c r="C170" s="29">
        <f t="shared" si="20"/>
        <v>190</v>
      </c>
      <c r="D170" s="32">
        <v>3600</v>
      </c>
      <c r="F170" s="29">
        <v>95</v>
      </c>
      <c r="G170" s="29">
        <f t="shared" si="21"/>
        <v>190</v>
      </c>
      <c r="H170" s="32">
        <f t="shared" si="23"/>
        <v>3100</v>
      </c>
    </row>
  </sheetData>
  <mergeCells count="6">
    <mergeCell ref="B2:D2"/>
    <mergeCell ref="F2:H2"/>
    <mergeCell ref="J2:M2"/>
    <mergeCell ref="O2:Q2"/>
    <mergeCell ref="B165:D165"/>
    <mergeCell ref="F165:H16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WOORY</cp:lastModifiedBy>
  <dcterms:created xsi:type="dcterms:W3CDTF">2025-07-02T00:24:03Z</dcterms:created>
  <dcterms:modified xsi:type="dcterms:W3CDTF">2025-11-13T07:45:35Z</dcterms:modified>
</cp:coreProperties>
</file>