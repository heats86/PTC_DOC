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PROJECT\Gitlab\HMC\ptc_heater_doc\2. 스펙\"/>
    </mc:Choice>
  </mc:AlternateContent>
  <bookViews>
    <workbookView xWindow="0" yWindow="0" windowWidth="28800" windowHeight="11760"/>
  </bookViews>
  <sheets>
    <sheet name="이력관리" sheetId="2" r:id="rId1"/>
    <sheet name="HKMC_PTC_HEATER" sheetId="1" r:id="rId2"/>
    <sheet name="제어성능표" sheetId="3" r:id="rId3"/>
  </sheets>
  <externalReferences>
    <externalReference r:id="rId4"/>
  </externalReferences>
  <definedNames>
    <definedName name="_C">[1]hp_td_calc!$D$9:$W$9</definedName>
    <definedName name="_Order1" hidden="1">255</definedName>
    <definedName name="A">[1]hp_td_calc!$D$7:$W$7</definedName>
    <definedName name="B">[1]hp_td_calc!$D$8:$W$8</definedName>
    <definedName name="BLOWER">#REF!</definedName>
    <definedName name="D">[1]hp_td_calc!$D$10:$W$10</definedName>
    <definedName name="Fset">[1]hp_td_calc!$D$12:$W$12</definedName>
    <definedName name="fuseopen">#REF!,#REF!,#REF!,#REF!,#REF!,#REF!,#REF!,#REF!,#REF!,#REF!</definedName>
    <definedName name="_xlnm.Print_Area" localSheetId="0">이력관리!$A$1:$K$24</definedName>
    <definedName name="pull">#REF!</definedName>
    <definedName name="pull_m10">#REF!</definedName>
    <definedName name="pull_m5">#REF!</definedName>
    <definedName name="pull_p10">#REF!</definedName>
    <definedName name="Puu_p5">#REF!</definedName>
    <definedName name="Tamb">[1]hp_td_calc!$D$13:$W$13</definedName>
    <definedName name="Tincar">[1]hp_td_calc!$B$16:$B$231</definedName>
    <definedName name="Tset">[1]hp_td_calc!$D$11:$W$11</definedName>
    <definedName name="ㄴ">[1]hp_td_calc!$B$16:$B$231</definedName>
    <definedName name="ㄴㅁㅇㄹㄴㅇㄹㄴㅇ">[1]hp_td_calc!$D$8:$W$8</definedName>
    <definedName name="ㄴㅇㄹㄴ">[1]hp_td_calc!$B$16:$B$231</definedName>
    <definedName name="ㄴㅇㄹㄴㅁㅇㄹㄴㅇㅁ">[1]hp_td_calc!$D$7:$W$7</definedName>
    <definedName name="ㄴㅇㄹㅇㄴ">[1]hp_td_calc!$D$11:$W$11</definedName>
    <definedName name="ㄻㄴㅇㄹㄴㅁㅇㄹ">[1]hp_td_calc!$D$11:$W$11</definedName>
    <definedName name="ㅁㄴㅇㄹㄴㅁㅇㄹㅇㄹㄴㅇ">[1]hp_td_calc!$D$10:$W$10</definedName>
    <definedName name="말">[1]hp_td_calc!$D$12:$W$12</definedName>
    <definedName name="매크로29">#N/A</definedName>
    <definedName name="매크로30">#N/A</definedName>
    <definedName name="매크로47">#N/A</definedName>
    <definedName name="ㅇ">[1]hp_td_calc!$D$13:$W$13</definedName>
    <definedName name="ㅇㄹㄻㄴㅇㄹ">[1]hp_td_calc!$D$9:$W$9</definedName>
    <definedName name="ㅇㅇ">[1]hp_td_calc!$D$12:$W$12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6" i="3" l="1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5" i="3"/>
  <c r="Q4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H5" i="3" l="1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6" i="3"/>
  <c r="H87" i="3" s="1"/>
  <c r="H88" i="3" s="1"/>
  <c r="H89" i="3" s="1"/>
  <c r="H90" i="3" s="1"/>
  <c r="H4" i="3"/>
  <c r="G90" i="3"/>
  <c r="G89" i="3"/>
  <c r="G88" i="3"/>
  <c r="G87" i="3"/>
  <c r="G86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K89" i="3" l="1"/>
  <c r="K88" i="3"/>
  <c r="K87" i="3"/>
  <c r="K86" i="3"/>
  <c r="K85" i="3"/>
  <c r="K84" i="3"/>
  <c r="M84" i="3" s="1"/>
  <c r="K83" i="3"/>
  <c r="M83" i="3" s="1"/>
  <c r="K82" i="3"/>
  <c r="M82" i="3" s="1"/>
  <c r="K81" i="3"/>
  <c r="M81" i="3" s="1"/>
  <c r="K80" i="3"/>
  <c r="M80" i="3" s="1"/>
  <c r="K79" i="3"/>
  <c r="M79" i="3" s="1"/>
  <c r="K78" i="3"/>
  <c r="M78" i="3" s="1"/>
  <c r="K77" i="3"/>
  <c r="M77" i="3" s="1"/>
  <c r="K76" i="3"/>
  <c r="K75" i="3"/>
  <c r="M75" i="3" s="1"/>
  <c r="K74" i="3"/>
  <c r="M74" i="3" s="1"/>
  <c r="K73" i="3"/>
  <c r="L73" i="3" s="1"/>
  <c r="K72" i="3"/>
  <c r="L72" i="3" s="1"/>
  <c r="K71" i="3"/>
  <c r="K70" i="3"/>
  <c r="M70" i="3" s="1"/>
  <c r="K69" i="3"/>
  <c r="K68" i="3"/>
  <c r="K67" i="3"/>
  <c r="M67" i="3" s="1"/>
  <c r="K66" i="3"/>
  <c r="M66" i="3" s="1"/>
  <c r="K65" i="3"/>
  <c r="K64" i="3"/>
  <c r="K63" i="3"/>
  <c r="K62" i="3"/>
  <c r="M62" i="3" s="1"/>
  <c r="K61" i="3"/>
  <c r="M61" i="3" s="1"/>
  <c r="K60" i="3"/>
  <c r="K59" i="3"/>
  <c r="M59" i="3" s="1"/>
  <c r="K58" i="3"/>
  <c r="M58" i="3" s="1"/>
  <c r="K57" i="3"/>
  <c r="K56" i="3"/>
  <c r="L56" i="3" s="1"/>
  <c r="K55" i="3"/>
  <c r="M55" i="3" s="1"/>
  <c r="K54" i="3"/>
  <c r="M54" i="3" s="1"/>
  <c r="K53" i="3"/>
  <c r="M53" i="3" s="1"/>
  <c r="K52" i="3"/>
  <c r="K51" i="3"/>
  <c r="M51" i="3" s="1"/>
  <c r="K50" i="3"/>
  <c r="M50" i="3" s="1"/>
  <c r="K49" i="3"/>
  <c r="M49" i="3" s="1"/>
  <c r="K48" i="3"/>
  <c r="L48" i="3" s="1"/>
  <c r="K47" i="3"/>
  <c r="M47" i="3" s="1"/>
  <c r="K46" i="3"/>
  <c r="K45" i="3"/>
  <c r="K44" i="3"/>
  <c r="K43" i="3"/>
  <c r="M43" i="3" s="1"/>
  <c r="L42" i="3"/>
  <c r="K42" i="3"/>
  <c r="M42" i="3" s="1"/>
  <c r="K41" i="3"/>
  <c r="L41" i="3" s="1"/>
  <c r="K40" i="3"/>
  <c r="K39" i="3"/>
  <c r="M39" i="3" s="1"/>
  <c r="K38" i="3"/>
  <c r="K37" i="3"/>
  <c r="K36" i="3"/>
  <c r="K35" i="3"/>
  <c r="M35" i="3" s="1"/>
  <c r="K34" i="3"/>
  <c r="M34" i="3" s="1"/>
  <c r="K33" i="3"/>
  <c r="M33" i="3" s="1"/>
  <c r="K32" i="3"/>
  <c r="M32" i="3" s="1"/>
  <c r="K31" i="3"/>
  <c r="M31" i="3" s="1"/>
  <c r="K30" i="3"/>
  <c r="K29" i="3"/>
  <c r="K28" i="3"/>
  <c r="K27" i="3"/>
  <c r="M27" i="3" s="1"/>
  <c r="K26" i="3"/>
  <c r="M26" i="3" s="1"/>
  <c r="K25" i="3"/>
  <c r="L25" i="3" s="1"/>
  <c r="K24" i="3"/>
  <c r="K23" i="3"/>
  <c r="K22" i="3"/>
  <c r="K21" i="3"/>
  <c r="M21" i="3" s="1"/>
  <c r="K20" i="3"/>
  <c r="K19" i="3"/>
  <c r="M19" i="3" s="1"/>
  <c r="K18" i="3"/>
  <c r="M18" i="3" s="1"/>
  <c r="K17" i="3"/>
  <c r="M17" i="3" s="1"/>
  <c r="K16" i="3"/>
  <c r="M16" i="3" s="1"/>
  <c r="K15" i="3"/>
  <c r="M15" i="3" s="1"/>
  <c r="K14" i="3"/>
  <c r="M14" i="3" s="1"/>
  <c r="K13" i="3"/>
  <c r="M13" i="3" s="1"/>
  <c r="K12" i="3"/>
  <c r="K11" i="3"/>
  <c r="M11" i="3" s="1"/>
  <c r="K10" i="3"/>
  <c r="M10" i="3" s="1"/>
  <c r="K9" i="3"/>
  <c r="K8" i="3"/>
  <c r="K7" i="3"/>
  <c r="M7" i="3" s="1"/>
  <c r="K6" i="3"/>
  <c r="M6" i="3" s="1"/>
  <c r="K5" i="3"/>
  <c r="M5" i="3" s="1"/>
  <c r="K4" i="3"/>
  <c r="M73" i="3" l="1"/>
  <c r="M56" i="3"/>
  <c r="L80" i="3"/>
  <c r="L18" i="3"/>
  <c r="L32" i="3"/>
  <c r="M25" i="3"/>
  <c r="M8" i="3"/>
  <c r="L50" i="3"/>
  <c r="L81" i="3"/>
  <c r="M45" i="3"/>
  <c r="M9" i="3"/>
  <c r="L82" i="3"/>
  <c r="M69" i="3"/>
  <c r="L64" i="3"/>
  <c r="M46" i="3"/>
  <c r="L58" i="3"/>
  <c r="L34" i="3"/>
  <c r="M29" i="3"/>
  <c r="M65" i="3"/>
  <c r="M24" i="3"/>
  <c r="M30" i="3"/>
  <c r="L66" i="3"/>
  <c r="L8" i="3"/>
  <c r="L33" i="3"/>
  <c r="M57" i="3"/>
  <c r="M64" i="3"/>
  <c r="M22" i="3"/>
  <c r="M41" i="3"/>
  <c r="M72" i="3"/>
  <c r="L24" i="3"/>
  <c r="M48" i="3"/>
  <c r="M38" i="3"/>
  <c r="L74" i="3"/>
  <c r="L26" i="3"/>
  <c r="L57" i="3"/>
  <c r="L16" i="3"/>
  <c r="M40" i="3"/>
  <c r="L10" i="3"/>
  <c r="L17" i="3"/>
  <c r="M37" i="3"/>
  <c r="L49" i="3"/>
  <c r="L9" i="3"/>
  <c r="L40" i="3"/>
  <c r="L65" i="3"/>
  <c r="L11" i="3"/>
  <c r="L19" i="3"/>
  <c r="L27" i="3"/>
  <c r="L35" i="3"/>
  <c r="L43" i="3"/>
  <c r="L51" i="3"/>
  <c r="L59" i="3"/>
  <c r="L67" i="3"/>
  <c r="L75" i="3"/>
  <c r="L83" i="3"/>
  <c r="L6" i="3"/>
  <c r="L14" i="3"/>
  <c r="L22" i="3"/>
  <c r="L30" i="3"/>
  <c r="L38" i="3"/>
  <c r="L46" i="3"/>
  <c r="L54" i="3"/>
  <c r="L62" i="3"/>
  <c r="L70" i="3"/>
  <c r="L78" i="3"/>
  <c r="L36" i="3"/>
  <c r="L44" i="3"/>
  <c r="L60" i="3"/>
  <c r="L68" i="3"/>
  <c r="L76" i="3"/>
  <c r="L84" i="3"/>
  <c r="L7" i="3"/>
  <c r="L15" i="3"/>
  <c r="L23" i="3"/>
  <c r="L31" i="3"/>
  <c r="L39" i="3"/>
  <c r="L47" i="3"/>
  <c r="L55" i="3"/>
  <c r="L63" i="3"/>
  <c r="L71" i="3"/>
  <c r="L79" i="3"/>
  <c r="M4" i="3"/>
  <c r="M12" i="3"/>
  <c r="M20" i="3"/>
  <c r="M28" i="3"/>
  <c r="M36" i="3"/>
  <c r="M44" i="3"/>
  <c r="M52" i="3"/>
  <c r="M60" i="3"/>
  <c r="M68" i="3"/>
  <c r="M76" i="3"/>
  <c r="L4" i="3"/>
  <c r="L12" i="3"/>
  <c r="M23" i="3"/>
  <c r="M63" i="3"/>
  <c r="M71" i="3"/>
  <c r="L5" i="3"/>
  <c r="L13" i="3"/>
  <c r="L21" i="3"/>
  <c r="L29" i="3"/>
  <c r="L37" i="3"/>
  <c r="L45" i="3"/>
  <c r="L53" i="3"/>
  <c r="L61" i="3"/>
  <c r="L69" i="3"/>
  <c r="L77" i="3"/>
  <c r="L20" i="3"/>
  <c r="L28" i="3"/>
  <c r="L52" i="3"/>
  <c r="C90" i="3" l="1"/>
  <c r="C89" i="3"/>
  <c r="C88" i="3"/>
  <c r="C87" i="3"/>
  <c r="C86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D28" i="3"/>
  <c r="D40" i="3"/>
  <c r="D64" i="3"/>
  <c r="D58" i="3"/>
  <c r="D49" i="3"/>
  <c r="D71" i="3"/>
  <c r="D29" i="3"/>
  <c r="D68" i="3"/>
  <c r="D76" i="3"/>
  <c r="D48" i="3"/>
  <c r="D75" i="3"/>
  <c r="D7" i="3"/>
  <c r="D66" i="3"/>
  <c r="D83" i="3"/>
  <c r="D5" i="3"/>
  <c r="D41" i="3"/>
  <c r="D25" i="3"/>
  <c r="D20" i="3"/>
  <c r="D69" i="3"/>
  <c r="D24" i="3"/>
  <c r="D78" i="3"/>
  <c r="D9" i="3"/>
  <c r="D21" i="3"/>
  <c r="D15" i="3"/>
  <c r="D53" i="3"/>
  <c r="D79" i="3"/>
  <c r="D45" i="3"/>
  <c r="D32" i="3"/>
  <c r="D43" i="3"/>
  <c r="D23" i="3"/>
  <c r="D35" i="3"/>
  <c r="D6" i="3"/>
  <c r="D30" i="3"/>
  <c r="D8" i="3"/>
  <c r="D59" i="3"/>
  <c r="D60" i="3"/>
  <c r="D72" i="3"/>
  <c r="D56" i="3"/>
  <c r="D54" i="3"/>
  <c r="D61" i="3"/>
  <c r="D26" i="3"/>
  <c r="D57" i="3"/>
  <c r="D22" i="3"/>
  <c r="D65" i="3"/>
  <c r="D77" i="3"/>
  <c r="D46" i="3"/>
  <c r="D19" i="3"/>
  <c r="D67" i="3"/>
  <c r="D44" i="3"/>
  <c r="D80" i="3"/>
  <c r="D13" i="3"/>
  <c r="D39" i="3"/>
  <c r="D33" i="3"/>
  <c r="D17" i="3"/>
  <c r="D16" i="3"/>
  <c r="D50" i="3"/>
  <c r="D12" i="3"/>
  <c r="D51" i="3"/>
  <c r="D10" i="3"/>
  <c r="D73" i="3"/>
  <c r="D55" i="3"/>
  <c r="D42" i="3"/>
  <c r="D81" i="3"/>
  <c r="D18" i="3"/>
  <c r="D74" i="3"/>
  <c r="D38" i="3"/>
  <c r="D82" i="3"/>
  <c r="D62" i="3"/>
  <c r="D36" i="3"/>
  <c r="D27" i="3"/>
  <c r="D37" i="3"/>
  <c r="D63" i="3"/>
  <c r="D34" i="3"/>
  <c r="D11" i="3"/>
  <c r="D14" i="3"/>
  <c r="D31" i="3"/>
  <c r="D47" i="3"/>
  <c r="D52" i="3"/>
  <c r="D4" i="3"/>
  <c r="D70" i="3"/>
</calcChain>
</file>

<file path=xl/sharedStrings.xml><?xml version="1.0" encoding="utf-8"?>
<sst xmlns="http://schemas.openxmlformats.org/spreadsheetml/2006/main" count="119" uniqueCount="101">
  <si>
    <t>차종</t>
    <phoneticPr fontId="1" type="noConversion"/>
  </si>
  <si>
    <t>Vn</t>
    <phoneticPr fontId="1" type="noConversion"/>
  </si>
  <si>
    <t>Vmin</t>
    <phoneticPr fontId="1" type="noConversion"/>
  </si>
  <si>
    <t>S/W</t>
    <phoneticPr fontId="1" type="noConversion"/>
  </si>
  <si>
    <t>5.5kW</t>
    <phoneticPr fontId="1" type="noConversion"/>
  </si>
  <si>
    <t>5.5kW</t>
    <phoneticPr fontId="1" type="noConversion"/>
  </si>
  <si>
    <t>5.5kW</t>
    <phoneticPr fontId="1" type="noConversion"/>
  </si>
  <si>
    <t>4.0kW</t>
    <phoneticPr fontId="1" type="noConversion"/>
  </si>
  <si>
    <t>6.3kW</t>
    <phoneticPr fontId="1" type="noConversion"/>
  </si>
  <si>
    <t>6.0kW</t>
    <phoneticPr fontId="1" type="noConversion"/>
  </si>
  <si>
    <t>V01.13.01A</t>
    <phoneticPr fontId="1" type="noConversion"/>
  </si>
  <si>
    <t>V01.13.01B</t>
    <phoneticPr fontId="1" type="noConversion"/>
  </si>
  <si>
    <t>비고</t>
    <phoneticPr fontId="1" type="noConversion"/>
  </si>
  <si>
    <t>V01.13.01A</t>
    <phoneticPr fontId="1" type="noConversion"/>
  </si>
  <si>
    <t>V01.13.01B</t>
    <phoneticPr fontId="1" type="noConversion"/>
  </si>
  <si>
    <t>V01.13.01C</t>
    <phoneticPr fontId="1" type="noConversion"/>
  </si>
  <si>
    <t>V01.03.01</t>
    <phoneticPr fontId="1" type="noConversion"/>
  </si>
  <si>
    <t>V01.01.03</t>
    <phoneticPr fontId="1" type="noConversion"/>
  </si>
  <si>
    <t>V01.02</t>
    <phoneticPr fontId="1" type="noConversion"/>
  </si>
  <si>
    <t>V01.01</t>
    <phoneticPr fontId="1" type="noConversion"/>
  </si>
  <si>
    <t>V01.01</t>
    <phoneticPr fontId="1" type="noConversion"/>
  </si>
  <si>
    <t>V01.00</t>
    <phoneticPr fontId="1" type="noConversion"/>
  </si>
  <si>
    <t>V01.00</t>
    <phoneticPr fontId="1" type="noConversion"/>
  </si>
  <si>
    <t>MVa 동일사양, R튜닝만 다름</t>
    <phoneticPr fontId="1" type="noConversion"/>
  </si>
  <si>
    <t>MVa Rear 동일사양, R튜닝만 다름</t>
    <phoneticPr fontId="1" type="noConversion"/>
  </si>
  <si>
    <t>MVa Front 동일사양, R튜닝만 다름</t>
    <phoneticPr fontId="1" type="noConversion"/>
  </si>
  <si>
    <t>MVa Front C/O 사양</t>
    <phoneticPr fontId="1" type="noConversion"/>
  </si>
  <si>
    <t>동일 S/W</t>
    <phoneticPr fontId="1" type="noConversion"/>
  </si>
  <si>
    <t>동일 S/W</t>
    <phoneticPr fontId="1" type="noConversion"/>
  </si>
  <si>
    <t>MVa Front(KMC EV9)</t>
    <phoneticPr fontId="1" type="noConversion"/>
  </si>
  <si>
    <t>MEa Front(HMC IONIQ9)</t>
    <phoneticPr fontId="1" type="noConversion"/>
  </si>
  <si>
    <t>MVa Rear(KMC EV9)</t>
    <phoneticPr fontId="1" type="noConversion"/>
  </si>
  <si>
    <t>MEa Rear(HMC IONIQ9)</t>
    <phoneticPr fontId="1" type="noConversion"/>
  </si>
  <si>
    <t>NEa(HMC IONIQ5)</t>
    <phoneticPr fontId="1" type="noConversion"/>
  </si>
  <si>
    <t>CVa(KMC EV6)</t>
    <phoneticPr fontId="1" type="noConversion"/>
  </si>
  <si>
    <t>Su2i 기본(HMC CRETA EV)</t>
    <phoneticPr fontId="1" type="noConversion"/>
  </si>
  <si>
    <t>Su2i 항속(HMC CRETA EV)</t>
    <phoneticPr fontId="1" type="noConversion"/>
  </si>
  <si>
    <t>AY(KMC SYROS)</t>
    <phoneticPr fontId="1" type="noConversion"/>
  </si>
  <si>
    <t>KY(KMC CARENS)</t>
    <phoneticPr fontId="1" type="noConversion"/>
  </si>
  <si>
    <t>QV 기본(KMC EV2)</t>
    <phoneticPr fontId="1" type="noConversion"/>
  </si>
  <si>
    <t>QV 항속(KMC EV2)</t>
    <phoneticPr fontId="1" type="noConversion"/>
  </si>
  <si>
    <t>SVm 기본(KMC EV3)</t>
    <phoneticPr fontId="1" type="noConversion"/>
  </si>
  <si>
    <t>SVm 항속(KMC EV3)</t>
    <phoneticPr fontId="1" type="noConversion"/>
  </si>
  <si>
    <t>NX5e(HMC TUCSON)</t>
    <phoneticPr fontId="1" type="noConversion"/>
  </si>
  <si>
    <t>MX5a(HMC SANTA FE)</t>
    <phoneticPr fontId="1" type="noConversion"/>
  </si>
  <si>
    <t>EA1c(미공개)</t>
    <phoneticPr fontId="1" type="noConversion"/>
  </si>
  <si>
    <t>Vmax</t>
    <phoneticPr fontId="1" type="noConversion"/>
  </si>
  <si>
    <t>제어용량</t>
    <phoneticPr fontId="1" type="noConversion"/>
  </si>
  <si>
    <t>공조사</t>
    <phoneticPr fontId="1" type="noConversion"/>
  </si>
  <si>
    <t>QV Code Base / 전압범위만 다름</t>
    <phoneticPr fontId="1" type="noConversion"/>
  </si>
  <si>
    <t>QV Code Base / 전압범위만 다름</t>
    <phoneticPr fontId="1" type="noConversion"/>
  </si>
  <si>
    <t>QV Code Base</t>
    <phoneticPr fontId="1" type="noConversion"/>
  </si>
  <si>
    <t>-</t>
    <phoneticPr fontId="1" type="noConversion"/>
  </si>
  <si>
    <t>-</t>
    <phoneticPr fontId="1" type="noConversion"/>
  </si>
  <si>
    <t>Last Rev. No.</t>
    <phoneticPr fontId="1" type="noConversion"/>
  </si>
  <si>
    <t>Last Rev. Date</t>
  </si>
  <si>
    <t>일  자</t>
  </si>
  <si>
    <t>REV.</t>
  </si>
  <si>
    <t>변   경   내   용</t>
  </si>
  <si>
    <t>작  성</t>
  </si>
  <si>
    <t>25.07.04</t>
    <phoneticPr fontId="5" type="noConversion"/>
  </si>
  <si>
    <t>V01.00</t>
    <phoneticPr fontId="5" type="noConversion"/>
  </si>
  <si>
    <t>김진겸</t>
    <phoneticPr fontId="5" type="noConversion"/>
  </si>
  <si>
    <t>모델 별 Spec 사양 초도 작성</t>
    <phoneticPr fontId="5" type="noConversion"/>
  </si>
  <si>
    <t>HKMC PTC HEATER Spec 이력 관리</t>
    <phoneticPr fontId="5" type="noConversion"/>
  </si>
  <si>
    <t>두원공조</t>
    <phoneticPr fontId="1" type="noConversion"/>
  </si>
  <si>
    <t>한온시스템</t>
    <phoneticPr fontId="1" type="noConversion"/>
  </si>
  <si>
    <t>한온시스템</t>
    <phoneticPr fontId="1" type="noConversion"/>
  </si>
  <si>
    <t>V01.01</t>
    <phoneticPr fontId="1" type="noConversion"/>
  </si>
  <si>
    <t>김진겸</t>
    <phoneticPr fontId="1" type="noConversion"/>
  </si>
  <si>
    <t>한온시스템</t>
    <phoneticPr fontId="1" type="noConversion"/>
  </si>
  <si>
    <t>BJ1 기본(HMC IONIQ2)</t>
    <phoneticPr fontId="1" type="noConversion"/>
  </si>
  <si>
    <t>BJ1 항속(HMC IONIQ2)</t>
    <phoneticPr fontId="1" type="noConversion"/>
  </si>
  <si>
    <t>Front랑 버전 동일하지만, 전력 다름.</t>
    <phoneticPr fontId="1" type="noConversion"/>
  </si>
  <si>
    <t>MVa 동일 사양, 코드 다름</t>
    <phoneticPr fontId="1" type="noConversion"/>
  </si>
  <si>
    <t>5.7kW</t>
    <phoneticPr fontId="1" type="noConversion"/>
  </si>
  <si>
    <t>내수/유럽향 동시진행</t>
    <phoneticPr fontId="1" type="noConversion"/>
  </si>
  <si>
    <t>SX3 등록</t>
    <phoneticPr fontId="1" type="noConversion"/>
  </si>
  <si>
    <t>V01.01</t>
    <phoneticPr fontId="1" type="noConversion"/>
  </si>
  <si>
    <t>25.07.15</t>
    <phoneticPr fontId="1" type="noConversion"/>
  </si>
  <si>
    <t>25.07.15</t>
    <phoneticPr fontId="1" type="noConversion"/>
  </si>
  <si>
    <t>퍼센트</t>
    <phoneticPr fontId="1" type="noConversion"/>
  </si>
  <si>
    <t>퍼센트</t>
    <phoneticPr fontId="1" type="noConversion"/>
  </si>
  <si>
    <t>CAN data</t>
    <phoneticPr fontId="1" type="noConversion"/>
  </si>
  <si>
    <t>CAN data</t>
    <phoneticPr fontId="1" type="noConversion"/>
  </si>
  <si>
    <t>Limit</t>
    <phoneticPr fontId="1" type="noConversion"/>
  </si>
  <si>
    <t>Limit</t>
    <phoneticPr fontId="1" type="noConversion"/>
  </si>
  <si>
    <t>NX5e</t>
    <phoneticPr fontId="1" type="noConversion"/>
  </si>
  <si>
    <t>Power</t>
    <phoneticPr fontId="1" type="noConversion"/>
  </si>
  <si>
    <t>QV / SVm / BJ1(좌우전력차X)</t>
    <phoneticPr fontId="1" type="noConversion"/>
  </si>
  <si>
    <t>MVa / MEa / NEa / CVa FR / RR</t>
    <phoneticPr fontId="1" type="noConversion"/>
  </si>
  <si>
    <t>Front</t>
    <phoneticPr fontId="1" type="noConversion"/>
  </si>
  <si>
    <t>Rear</t>
    <phoneticPr fontId="1" type="noConversion"/>
  </si>
  <si>
    <t>퍼센트</t>
    <phoneticPr fontId="1" type="noConversion"/>
  </si>
  <si>
    <t>CAN data</t>
    <phoneticPr fontId="1" type="noConversion"/>
  </si>
  <si>
    <t>Su2i / AY / KY</t>
    <phoneticPr fontId="1" type="noConversion"/>
  </si>
  <si>
    <t>SX3e(HMC KONA Electric)</t>
    <phoneticPr fontId="1" type="noConversion"/>
  </si>
  <si>
    <t>25.08.04</t>
    <phoneticPr fontId="1" type="noConversion"/>
  </si>
  <si>
    <t>V01.02</t>
    <phoneticPr fontId="1" type="noConversion"/>
  </si>
  <si>
    <t>차종별 제어성능표 추가</t>
    <phoneticPr fontId="1" type="noConversion"/>
  </si>
  <si>
    <t>김진겸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</si>
</sst>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&quot;V&quot;"/>
    <numFmt numFmtId="177" formatCode="0&quot;W&quot;"/>
    <numFmt numFmtId="178" formatCode="0_ 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name val="굴림"/>
      <family val="3"/>
      <charset val="129"/>
    </font>
    <font>
      <sz val="12"/>
      <name val="굴림"/>
      <family val="3"/>
      <charset val="129"/>
    </font>
    <font>
      <sz val="10"/>
      <name val="굴림"/>
      <family val="3"/>
      <charset val="129"/>
    </font>
    <font>
      <sz val="8"/>
      <name val="굴림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9">
    <xf numFmtId="0" fontId="0" fillId="0" borderId="0" xfId="0">
      <alignment vertical="center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>
      <alignment horizontal="left" vertical="center"/>
    </xf>
    <xf numFmtId="0" fontId="4" fillId="0" borderId="1" xfId="1" applyFont="1" applyBorder="1" applyAlignment="1">
      <alignment vertical="center"/>
    </xf>
    <xf numFmtId="0" fontId="4" fillId="0" borderId="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14" fontId="4" fillId="0" borderId="12" xfId="1" quotePrefix="1" applyNumberFormat="1" applyFont="1" applyBorder="1" applyAlignment="1">
      <alignment horizontal="center" vertical="center"/>
    </xf>
    <xf numFmtId="1" fontId="4" fillId="0" borderId="12" xfId="1" quotePrefix="1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4" fillId="0" borderId="5" xfId="1" applyFont="1" applyBorder="1" applyAlignment="1">
      <alignment horizontal="left" vertical="center" wrapText="1"/>
    </xf>
    <xf numFmtId="0" fontId="4" fillId="0" borderId="11" xfId="1" applyFont="1" applyBorder="1" applyAlignment="1">
      <alignment horizontal="left" vertical="center" wrapText="1"/>
    </xf>
    <xf numFmtId="0" fontId="4" fillId="0" borderId="10" xfId="1" applyFont="1" applyBorder="1" applyAlignment="1">
      <alignment horizontal="left" vertical="center" wrapText="1"/>
    </xf>
    <xf numFmtId="0" fontId="4" fillId="0" borderId="5" xfId="1" applyFont="1" applyBorder="1" applyAlignment="1">
      <alignment horizontal="center" vertical="center" wrapText="1" shrinkToFit="1"/>
    </xf>
    <xf numFmtId="0" fontId="4" fillId="0" borderId="11" xfId="1" applyFont="1" applyBorder="1" applyAlignment="1">
      <alignment horizontal="center" vertical="center" wrapText="1" shrinkToFit="1"/>
    </xf>
    <xf numFmtId="0" fontId="4" fillId="0" borderId="10" xfId="1" applyFont="1" applyBorder="1" applyAlignment="1">
      <alignment horizontal="center" vertical="center" wrapText="1" shrinkToFit="1"/>
    </xf>
    <xf numFmtId="0" fontId="4" fillId="0" borderId="1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5" xfId="1" quotePrefix="1" applyFont="1" applyBorder="1" applyAlignment="1">
      <alignment horizontal="center" vertical="center"/>
    </xf>
    <xf numFmtId="0" fontId="4" fillId="0" borderId="11" xfId="1" quotePrefix="1" applyFont="1" applyBorder="1" applyAlignment="1">
      <alignment horizontal="center" vertical="center"/>
    </xf>
    <xf numFmtId="0" fontId="4" fillId="0" borderId="10" xfId="1" quotePrefix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178" fontId="0" fillId="3" borderId="1" xfId="0" applyNumberFormat="1" applyFill="1" applyBorder="1">
      <alignment vertical="center"/>
    </xf>
    <xf numFmtId="0" fontId="0" fillId="0" borderId="5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2">
    <cellStyle name="표준" xfId="0" builtinId="0"/>
    <cellStyle name="표준_040716_NF PWM SW 사양서(VER. 3)_MOTOR LOCK REF.추가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01858-pc-smg\server\&#51104;&#49884;&#51200;&#51109;\hp-03_0107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p-03_010703"/>
      <sheetName val="hp_td_calc"/>
      <sheetName val="GK_XDBASE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1"/>
  <sheetViews>
    <sheetView showGridLines="0" tabSelected="1" view="pageBreakPreview" zoomScaleSheetLayoutView="100" workbookViewId="0">
      <selection activeCell="A2" sqref="A2:I2"/>
    </sheetView>
  </sheetViews>
  <sheetFormatPr defaultColWidth="2.375" defaultRowHeight="12" x14ac:dyDescent="0.3"/>
  <cols>
    <col min="1" max="1" width="11.875" style="13" customWidth="1"/>
    <col min="2" max="2" width="6.875" style="13" customWidth="1"/>
    <col min="3" max="3" width="6.375" style="13" customWidth="1"/>
    <col min="4" max="4" width="18.375" style="13" customWidth="1"/>
    <col min="5" max="5" width="20" style="13" customWidth="1"/>
    <col min="6" max="6" width="9.5" style="13" customWidth="1"/>
    <col min="7" max="7" width="5.5" style="13" customWidth="1"/>
    <col min="8" max="8" width="4" style="13" customWidth="1"/>
    <col min="9" max="9" width="9.125" style="13" customWidth="1"/>
    <col min="10" max="10" width="0.875" style="13" customWidth="1"/>
    <col min="11" max="16384" width="2.375" style="13"/>
  </cols>
  <sheetData>
    <row r="1" spans="1:9" s="12" customFormat="1" ht="30.75" customHeight="1" x14ac:dyDescent="0.3"/>
    <row r="2" spans="1:9" ht="30.75" customHeight="1" x14ac:dyDescent="0.3">
      <c r="A2" s="32" t="s">
        <v>64</v>
      </c>
      <c r="B2" s="32"/>
      <c r="C2" s="32"/>
      <c r="D2" s="32"/>
      <c r="E2" s="32"/>
      <c r="F2" s="32"/>
      <c r="G2" s="32"/>
      <c r="H2" s="32"/>
      <c r="I2" s="32"/>
    </row>
    <row r="3" spans="1:9" ht="24.95" customHeight="1" x14ac:dyDescent="0.3">
      <c r="A3" s="32" t="s">
        <v>54</v>
      </c>
      <c r="B3" s="32"/>
      <c r="C3" s="32"/>
      <c r="D3" s="14" t="s">
        <v>78</v>
      </c>
      <c r="E3" s="14" t="s">
        <v>55</v>
      </c>
      <c r="F3" s="32" t="s">
        <v>79</v>
      </c>
      <c r="G3" s="32"/>
      <c r="H3" s="32"/>
      <c r="I3" s="32"/>
    </row>
    <row r="4" spans="1:9" ht="24.95" customHeight="1" x14ac:dyDescent="0.3">
      <c r="A4" s="15" t="s">
        <v>56</v>
      </c>
      <c r="B4" s="16" t="s">
        <v>57</v>
      </c>
      <c r="C4" s="33" t="s">
        <v>58</v>
      </c>
      <c r="D4" s="34"/>
      <c r="E4" s="35"/>
      <c r="F4" s="36" t="s">
        <v>59</v>
      </c>
      <c r="G4" s="37"/>
      <c r="H4" s="37"/>
      <c r="I4" s="38"/>
    </row>
    <row r="5" spans="1:9" ht="33.75" customHeight="1" x14ac:dyDescent="0.3">
      <c r="A5" s="17" t="s">
        <v>60</v>
      </c>
      <c r="B5" s="18" t="s">
        <v>61</v>
      </c>
      <c r="C5" s="26" t="s">
        <v>63</v>
      </c>
      <c r="D5" s="27"/>
      <c r="E5" s="28"/>
      <c r="F5" s="29" t="s">
        <v>62</v>
      </c>
      <c r="G5" s="30"/>
      <c r="H5" s="30"/>
      <c r="I5" s="31"/>
    </row>
    <row r="6" spans="1:9" ht="33.75" customHeight="1" x14ac:dyDescent="0.3">
      <c r="A6" s="17" t="s">
        <v>80</v>
      </c>
      <c r="B6" s="18" t="s">
        <v>68</v>
      </c>
      <c r="C6" s="26" t="s">
        <v>77</v>
      </c>
      <c r="D6" s="27"/>
      <c r="E6" s="28"/>
      <c r="F6" s="29" t="s">
        <v>69</v>
      </c>
      <c r="G6" s="30"/>
      <c r="H6" s="30"/>
      <c r="I6" s="31"/>
    </row>
    <row r="7" spans="1:9" ht="33.75" customHeight="1" x14ac:dyDescent="0.3">
      <c r="A7" s="17" t="s">
        <v>97</v>
      </c>
      <c r="B7" s="18" t="s">
        <v>98</v>
      </c>
      <c r="C7" s="26" t="s">
        <v>99</v>
      </c>
      <c r="D7" s="27"/>
      <c r="E7" s="28"/>
      <c r="F7" s="29" t="s">
        <v>100</v>
      </c>
      <c r="G7" s="30"/>
      <c r="H7" s="30"/>
      <c r="I7" s="31"/>
    </row>
    <row r="8" spans="1:9" ht="33.75" customHeight="1" x14ac:dyDescent="0.3">
      <c r="A8" s="17"/>
      <c r="B8" s="18"/>
      <c r="C8" s="26"/>
      <c r="D8" s="27"/>
      <c r="E8" s="28"/>
      <c r="F8" s="29"/>
      <c r="G8" s="30"/>
      <c r="H8" s="30"/>
      <c r="I8" s="31"/>
    </row>
    <row r="9" spans="1:9" ht="33.75" customHeight="1" x14ac:dyDescent="0.3">
      <c r="A9" s="17"/>
      <c r="B9" s="18"/>
      <c r="C9" s="26"/>
      <c r="D9" s="27"/>
      <c r="E9" s="28"/>
      <c r="F9" s="29"/>
      <c r="G9" s="30"/>
      <c r="H9" s="30"/>
      <c r="I9" s="31"/>
    </row>
    <row r="10" spans="1:9" ht="33.75" customHeight="1" x14ac:dyDescent="0.3">
      <c r="A10" s="17"/>
      <c r="B10" s="18"/>
      <c r="C10" s="26"/>
      <c r="D10" s="27"/>
      <c r="E10" s="28"/>
      <c r="F10" s="29"/>
      <c r="G10" s="30"/>
      <c r="H10" s="30"/>
      <c r="I10" s="31"/>
    </row>
    <row r="11" spans="1:9" ht="33.75" customHeight="1" x14ac:dyDescent="0.3">
      <c r="A11" s="17"/>
      <c r="B11" s="18"/>
      <c r="C11" s="26"/>
      <c r="D11" s="27"/>
      <c r="E11" s="28"/>
      <c r="F11" s="29"/>
      <c r="G11" s="30"/>
      <c r="H11" s="30"/>
      <c r="I11" s="31"/>
    </row>
    <row r="12" spans="1:9" ht="33.75" customHeight="1" x14ac:dyDescent="0.3">
      <c r="A12" s="17"/>
      <c r="B12" s="18"/>
      <c r="C12" s="26"/>
      <c r="D12" s="27"/>
      <c r="E12" s="28"/>
      <c r="F12" s="29"/>
      <c r="G12" s="30"/>
      <c r="H12" s="30"/>
      <c r="I12" s="31"/>
    </row>
    <row r="13" spans="1:9" ht="33.75" customHeight="1" x14ac:dyDescent="0.3">
      <c r="A13" s="17"/>
      <c r="B13" s="18"/>
      <c r="C13" s="26"/>
      <c r="D13" s="27"/>
      <c r="E13" s="28"/>
      <c r="F13" s="29"/>
      <c r="G13" s="30"/>
      <c r="H13" s="30"/>
      <c r="I13" s="31"/>
    </row>
    <row r="14" spans="1:9" ht="33.75" customHeight="1" x14ac:dyDescent="0.3">
      <c r="A14" s="17"/>
      <c r="B14" s="18"/>
      <c r="C14" s="26"/>
      <c r="D14" s="27"/>
      <c r="E14" s="28"/>
      <c r="F14" s="29"/>
      <c r="G14" s="30"/>
      <c r="H14" s="30"/>
      <c r="I14" s="31"/>
    </row>
    <row r="15" spans="1:9" ht="33.75" customHeight="1" x14ac:dyDescent="0.3">
      <c r="A15" s="17"/>
      <c r="B15" s="18"/>
      <c r="C15" s="26"/>
      <c r="D15" s="27"/>
      <c r="E15" s="28"/>
      <c r="F15" s="29"/>
      <c r="G15" s="30"/>
      <c r="H15" s="30"/>
      <c r="I15" s="31"/>
    </row>
    <row r="16" spans="1:9" ht="33.75" customHeight="1" x14ac:dyDescent="0.3">
      <c r="A16" s="17"/>
      <c r="B16" s="18"/>
      <c r="C16" s="26"/>
      <c r="D16" s="27"/>
      <c r="E16" s="28"/>
      <c r="F16" s="29"/>
      <c r="G16" s="30"/>
      <c r="H16" s="30"/>
      <c r="I16" s="31"/>
    </row>
    <row r="17" spans="1:9" ht="33.75" customHeight="1" x14ac:dyDescent="0.3">
      <c r="A17" s="17"/>
      <c r="B17" s="18"/>
      <c r="C17" s="26"/>
      <c r="D17" s="27"/>
      <c r="E17" s="28"/>
      <c r="F17" s="29"/>
      <c r="G17" s="30"/>
      <c r="H17" s="30"/>
      <c r="I17" s="31"/>
    </row>
    <row r="18" spans="1:9" ht="33.75" customHeight="1" x14ac:dyDescent="0.3">
      <c r="A18" s="17"/>
      <c r="B18" s="18"/>
      <c r="C18" s="26"/>
      <c r="D18" s="27"/>
      <c r="E18" s="28"/>
      <c r="F18" s="29"/>
      <c r="G18" s="30"/>
      <c r="H18" s="30"/>
      <c r="I18" s="31"/>
    </row>
    <row r="19" spans="1:9" ht="33.75" customHeight="1" x14ac:dyDescent="0.3">
      <c r="A19" s="17"/>
      <c r="B19" s="18"/>
      <c r="C19" s="26"/>
      <c r="D19" s="27"/>
      <c r="E19" s="28"/>
      <c r="F19" s="29"/>
      <c r="G19" s="30"/>
      <c r="H19" s="30"/>
      <c r="I19" s="31"/>
    </row>
    <row r="20" spans="1:9" ht="33.75" customHeight="1" x14ac:dyDescent="0.3">
      <c r="A20" s="17"/>
      <c r="B20" s="18"/>
      <c r="C20" s="26"/>
      <c r="D20" s="27"/>
      <c r="E20" s="28"/>
      <c r="F20" s="29"/>
      <c r="G20" s="30"/>
      <c r="H20" s="30"/>
      <c r="I20" s="31"/>
    </row>
    <row r="21" spans="1:9" ht="33.75" customHeight="1" x14ac:dyDescent="0.3">
      <c r="A21" s="17"/>
      <c r="B21" s="18"/>
      <c r="C21" s="26"/>
      <c r="D21" s="27"/>
      <c r="E21" s="28"/>
      <c r="F21" s="29"/>
      <c r="G21" s="30"/>
      <c r="H21" s="30"/>
      <c r="I21" s="31"/>
    </row>
  </sheetData>
  <mergeCells count="39">
    <mergeCell ref="C21:E21"/>
    <mergeCell ref="F21:I21"/>
    <mergeCell ref="C18:E18"/>
    <mergeCell ref="F18:I18"/>
    <mergeCell ref="C19:E19"/>
    <mergeCell ref="F19:I19"/>
    <mergeCell ref="C20:E20"/>
    <mergeCell ref="F20:I20"/>
    <mergeCell ref="C15:E15"/>
    <mergeCell ref="F15:I15"/>
    <mergeCell ref="C16:E16"/>
    <mergeCell ref="F16:I16"/>
    <mergeCell ref="C17:E17"/>
    <mergeCell ref="F17:I17"/>
    <mergeCell ref="C12:E12"/>
    <mergeCell ref="F12:I12"/>
    <mergeCell ref="C13:E13"/>
    <mergeCell ref="F13:I13"/>
    <mergeCell ref="C14:E14"/>
    <mergeCell ref="F14:I14"/>
    <mergeCell ref="C9:E9"/>
    <mergeCell ref="F9:I9"/>
    <mergeCell ref="C10:E10"/>
    <mergeCell ref="F10:I10"/>
    <mergeCell ref="C11:E11"/>
    <mergeCell ref="F11:I11"/>
    <mergeCell ref="C6:E6"/>
    <mergeCell ref="F6:I6"/>
    <mergeCell ref="C7:E7"/>
    <mergeCell ref="F7:I7"/>
    <mergeCell ref="C8:E8"/>
    <mergeCell ref="F8:I8"/>
    <mergeCell ref="C5:E5"/>
    <mergeCell ref="F5:I5"/>
    <mergeCell ref="A2:I2"/>
    <mergeCell ref="A3:C3"/>
    <mergeCell ref="F3:I3"/>
    <mergeCell ref="C4:E4"/>
    <mergeCell ref="F4:I4"/>
  </mergeCells>
  <phoneticPr fontId="1" type="noConversion"/>
  <pageMargins left="0.74803149606299213" right="0.15748031496062992" top="0.78740157480314965" bottom="0.72" header="0.51181102362204722" footer="0.51181102362204722"/>
  <pageSetup paperSize="9" scale="91" orientation="portrait" r:id="rId1"/>
  <headerFooter alignWithMargins="0">
    <oddHeader>&amp;L&amp;"Arial"&amp;10&amp;KFF8C00Hanon Systems – Confidential&amp;1#</oddHeader>
    <oddFooter>&amp;LHalla Climate Control Corp.&amp;R&amp;P/&amp;N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22"/>
  <sheetViews>
    <sheetView workbookViewId="0">
      <selection activeCell="B3" sqref="B3"/>
    </sheetView>
  </sheetViews>
  <sheetFormatPr defaultRowHeight="16.5" x14ac:dyDescent="0.3"/>
  <cols>
    <col min="2" max="2" width="30.125" customWidth="1"/>
    <col min="3" max="8" width="15.375" customWidth="1"/>
    <col min="9" max="9" width="41.25" customWidth="1"/>
  </cols>
  <sheetData>
    <row r="1" spans="2:9" ht="17.25" thickBot="1" x14ac:dyDescent="0.35"/>
    <row r="2" spans="2:9" ht="17.25" thickBot="1" x14ac:dyDescent="0.35">
      <c r="B2" s="19" t="s">
        <v>0</v>
      </c>
      <c r="C2" s="20" t="s">
        <v>1</v>
      </c>
      <c r="D2" s="20" t="s">
        <v>2</v>
      </c>
      <c r="E2" s="20" t="s">
        <v>46</v>
      </c>
      <c r="F2" s="20" t="s">
        <v>47</v>
      </c>
      <c r="G2" s="20" t="s">
        <v>48</v>
      </c>
      <c r="H2" s="20" t="s">
        <v>3</v>
      </c>
      <c r="I2" s="25" t="s">
        <v>12</v>
      </c>
    </row>
    <row r="3" spans="2:9" ht="20.25" customHeight="1" x14ac:dyDescent="0.3">
      <c r="B3" s="21" t="s">
        <v>29</v>
      </c>
      <c r="C3" s="22">
        <v>654</v>
      </c>
      <c r="D3" s="22">
        <v>248</v>
      </c>
      <c r="E3" s="22">
        <v>865.6</v>
      </c>
      <c r="F3" s="23" t="s">
        <v>8</v>
      </c>
      <c r="G3" s="41" t="s">
        <v>66</v>
      </c>
      <c r="H3" s="24" t="s">
        <v>10</v>
      </c>
      <c r="I3" s="9"/>
    </row>
    <row r="4" spans="2:9" ht="20.25" customHeight="1" x14ac:dyDescent="0.3">
      <c r="B4" s="3" t="s">
        <v>30</v>
      </c>
      <c r="C4" s="1">
        <v>654</v>
      </c>
      <c r="D4" s="1">
        <v>248</v>
      </c>
      <c r="E4" s="1">
        <v>865.6</v>
      </c>
      <c r="F4" s="2" t="s">
        <v>8</v>
      </c>
      <c r="G4" s="40"/>
      <c r="H4" s="7" t="s">
        <v>11</v>
      </c>
      <c r="I4" s="10" t="s">
        <v>25</v>
      </c>
    </row>
    <row r="5" spans="2:9" ht="20.25" customHeight="1" x14ac:dyDescent="0.3">
      <c r="B5" s="3" t="s">
        <v>31</v>
      </c>
      <c r="C5" s="1">
        <v>654</v>
      </c>
      <c r="D5" s="1">
        <v>248</v>
      </c>
      <c r="E5" s="1">
        <v>865.6</v>
      </c>
      <c r="F5" s="2" t="s">
        <v>7</v>
      </c>
      <c r="G5" s="40"/>
      <c r="H5" s="7" t="s">
        <v>13</v>
      </c>
      <c r="I5" s="10" t="s">
        <v>73</v>
      </c>
    </row>
    <row r="6" spans="2:9" ht="20.25" customHeight="1" x14ac:dyDescent="0.3">
      <c r="B6" s="3" t="s">
        <v>32</v>
      </c>
      <c r="C6" s="1">
        <v>654</v>
      </c>
      <c r="D6" s="1">
        <v>248</v>
      </c>
      <c r="E6" s="1">
        <v>865.6</v>
      </c>
      <c r="F6" s="2" t="s">
        <v>7</v>
      </c>
      <c r="G6" s="40"/>
      <c r="H6" s="7" t="s">
        <v>14</v>
      </c>
      <c r="I6" s="10" t="s">
        <v>24</v>
      </c>
    </row>
    <row r="7" spans="2:9" ht="20.25" customHeight="1" x14ac:dyDescent="0.3">
      <c r="B7" s="3" t="s">
        <v>33</v>
      </c>
      <c r="C7" s="1">
        <v>654</v>
      </c>
      <c r="D7" s="1">
        <v>248</v>
      </c>
      <c r="E7" s="1">
        <v>865.6</v>
      </c>
      <c r="F7" s="2" t="s">
        <v>8</v>
      </c>
      <c r="G7" s="40"/>
      <c r="H7" s="7" t="s">
        <v>15</v>
      </c>
      <c r="I7" s="10" t="s">
        <v>23</v>
      </c>
    </row>
    <row r="8" spans="2:9" ht="20.25" customHeight="1" x14ac:dyDescent="0.3">
      <c r="B8" s="3" t="s">
        <v>34</v>
      </c>
      <c r="C8" s="1">
        <v>654</v>
      </c>
      <c r="D8" s="1">
        <v>248</v>
      </c>
      <c r="E8" s="1">
        <v>865.6</v>
      </c>
      <c r="F8" s="2" t="s">
        <v>8</v>
      </c>
      <c r="G8" s="40" t="s">
        <v>65</v>
      </c>
      <c r="H8" s="7" t="s">
        <v>16</v>
      </c>
      <c r="I8" s="10" t="s">
        <v>74</v>
      </c>
    </row>
    <row r="9" spans="2:9" ht="20.25" customHeight="1" x14ac:dyDescent="0.3">
      <c r="B9" s="3" t="s">
        <v>35</v>
      </c>
      <c r="C9" s="1">
        <v>266</v>
      </c>
      <c r="D9" s="1">
        <v>180</v>
      </c>
      <c r="E9" s="1">
        <v>379</v>
      </c>
      <c r="F9" s="2" t="s">
        <v>7</v>
      </c>
      <c r="G9" s="40"/>
      <c r="H9" s="42" t="s">
        <v>17</v>
      </c>
      <c r="I9" s="39" t="s">
        <v>27</v>
      </c>
    </row>
    <row r="10" spans="2:9" ht="20.25" customHeight="1" x14ac:dyDescent="0.3">
      <c r="B10" s="3" t="s">
        <v>36</v>
      </c>
      <c r="C10" s="1">
        <v>325</v>
      </c>
      <c r="D10" s="1">
        <v>180</v>
      </c>
      <c r="E10" s="1">
        <v>379</v>
      </c>
      <c r="F10" s="2" t="s">
        <v>7</v>
      </c>
      <c r="G10" s="40"/>
      <c r="H10" s="42"/>
      <c r="I10" s="39"/>
    </row>
    <row r="11" spans="2:9" ht="20.25" customHeight="1" x14ac:dyDescent="0.3">
      <c r="B11" s="3" t="s">
        <v>37</v>
      </c>
      <c r="C11" s="1">
        <v>266</v>
      </c>
      <c r="D11" s="1">
        <v>180</v>
      </c>
      <c r="E11" s="1">
        <v>379</v>
      </c>
      <c r="F11" s="2" t="s">
        <v>7</v>
      </c>
      <c r="G11" s="40"/>
      <c r="H11" s="42"/>
      <c r="I11" s="39"/>
    </row>
    <row r="12" spans="2:9" ht="20.25" customHeight="1" x14ac:dyDescent="0.3">
      <c r="B12" s="3" t="s">
        <v>38</v>
      </c>
      <c r="C12" s="1">
        <v>266</v>
      </c>
      <c r="D12" s="1">
        <v>180</v>
      </c>
      <c r="E12" s="1">
        <v>379</v>
      </c>
      <c r="F12" s="2" t="s">
        <v>7</v>
      </c>
      <c r="G12" s="40"/>
      <c r="H12" s="42"/>
      <c r="I12" s="39"/>
    </row>
    <row r="13" spans="2:9" ht="20.25" customHeight="1" x14ac:dyDescent="0.3">
      <c r="B13" s="3" t="s">
        <v>39</v>
      </c>
      <c r="C13" s="1">
        <v>358</v>
      </c>
      <c r="D13" s="1">
        <v>150</v>
      </c>
      <c r="E13" s="1">
        <v>432</v>
      </c>
      <c r="F13" s="2" t="s">
        <v>4</v>
      </c>
      <c r="G13" s="40" t="s">
        <v>67</v>
      </c>
      <c r="H13" s="42" t="s">
        <v>18</v>
      </c>
      <c r="I13" s="39" t="s">
        <v>28</v>
      </c>
    </row>
    <row r="14" spans="2:9" ht="20.25" customHeight="1" x14ac:dyDescent="0.3">
      <c r="B14" s="3" t="s">
        <v>40</v>
      </c>
      <c r="C14" s="1">
        <v>297</v>
      </c>
      <c r="D14" s="1">
        <v>150</v>
      </c>
      <c r="E14" s="1">
        <v>432</v>
      </c>
      <c r="F14" s="2" t="s">
        <v>5</v>
      </c>
      <c r="G14" s="40"/>
      <c r="H14" s="42"/>
      <c r="I14" s="39"/>
    </row>
    <row r="15" spans="2:9" ht="20.25" customHeight="1" x14ac:dyDescent="0.3">
      <c r="B15" s="3" t="s">
        <v>41</v>
      </c>
      <c r="C15" s="1">
        <v>369</v>
      </c>
      <c r="D15" s="1">
        <v>180</v>
      </c>
      <c r="E15" s="1">
        <v>440</v>
      </c>
      <c r="F15" s="2" t="s">
        <v>4</v>
      </c>
      <c r="G15" s="40"/>
      <c r="H15" s="42" t="s">
        <v>19</v>
      </c>
      <c r="I15" s="39" t="s">
        <v>50</v>
      </c>
    </row>
    <row r="16" spans="2:9" ht="20.25" customHeight="1" x14ac:dyDescent="0.3">
      <c r="B16" s="3" t="s">
        <v>42</v>
      </c>
      <c r="C16" s="1">
        <v>343</v>
      </c>
      <c r="D16" s="1">
        <v>180</v>
      </c>
      <c r="E16" s="1">
        <v>440</v>
      </c>
      <c r="F16" s="2" t="s">
        <v>6</v>
      </c>
      <c r="G16" s="40"/>
      <c r="H16" s="42"/>
      <c r="I16" s="39"/>
    </row>
    <row r="17" spans="2:9" ht="20.25" customHeight="1" x14ac:dyDescent="0.3">
      <c r="B17" s="3" t="s">
        <v>71</v>
      </c>
      <c r="C17" s="1">
        <v>320</v>
      </c>
      <c r="D17" s="1">
        <v>222</v>
      </c>
      <c r="E17" s="1">
        <v>422</v>
      </c>
      <c r="F17" s="2" t="s">
        <v>4</v>
      </c>
      <c r="G17" s="40"/>
      <c r="H17" s="42" t="s">
        <v>20</v>
      </c>
      <c r="I17" s="39" t="s">
        <v>49</v>
      </c>
    </row>
    <row r="18" spans="2:9" ht="20.25" customHeight="1" x14ac:dyDescent="0.3">
      <c r="B18" s="3" t="s">
        <v>72</v>
      </c>
      <c r="C18" s="1">
        <v>356</v>
      </c>
      <c r="D18" s="1">
        <v>222</v>
      </c>
      <c r="E18" s="1">
        <v>422</v>
      </c>
      <c r="F18" s="2" t="s">
        <v>4</v>
      </c>
      <c r="G18" s="40"/>
      <c r="H18" s="42"/>
      <c r="I18" s="39"/>
    </row>
    <row r="19" spans="2:9" ht="20.25" customHeight="1" x14ac:dyDescent="0.3">
      <c r="B19" s="3" t="s">
        <v>45</v>
      </c>
      <c r="C19" s="1">
        <v>399.4</v>
      </c>
      <c r="D19" s="1">
        <v>219</v>
      </c>
      <c r="E19" s="1">
        <v>471</v>
      </c>
      <c r="F19" s="2" t="s">
        <v>9</v>
      </c>
      <c r="G19" s="2" t="s">
        <v>52</v>
      </c>
      <c r="H19" s="7" t="s">
        <v>21</v>
      </c>
      <c r="I19" s="10" t="s">
        <v>51</v>
      </c>
    </row>
    <row r="20" spans="2:9" ht="20.25" customHeight="1" x14ac:dyDescent="0.3">
      <c r="B20" s="3" t="s">
        <v>43</v>
      </c>
      <c r="C20" s="1">
        <v>360</v>
      </c>
      <c r="D20" s="1">
        <v>240</v>
      </c>
      <c r="E20" s="1">
        <v>403.2</v>
      </c>
      <c r="F20" s="2" t="s">
        <v>8</v>
      </c>
      <c r="G20" s="2" t="s">
        <v>53</v>
      </c>
      <c r="H20" s="7" t="s">
        <v>22</v>
      </c>
      <c r="I20" s="10" t="s">
        <v>51</v>
      </c>
    </row>
    <row r="21" spans="2:9" ht="20.25" customHeight="1" x14ac:dyDescent="0.3">
      <c r="B21" s="3" t="s">
        <v>44</v>
      </c>
      <c r="C21" s="1">
        <v>654</v>
      </c>
      <c r="D21" s="1">
        <v>248</v>
      </c>
      <c r="E21" s="1">
        <v>865.6</v>
      </c>
      <c r="F21" s="2" t="s">
        <v>8</v>
      </c>
      <c r="G21" s="2" t="s">
        <v>70</v>
      </c>
      <c r="H21" s="7" t="s">
        <v>10</v>
      </c>
      <c r="I21" s="10" t="s">
        <v>26</v>
      </c>
    </row>
    <row r="22" spans="2:9" ht="20.25" customHeight="1" thickBot="1" x14ac:dyDescent="0.35">
      <c r="B22" s="4" t="s">
        <v>96</v>
      </c>
      <c r="C22" s="5">
        <v>400</v>
      </c>
      <c r="D22" s="5"/>
      <c r="E22" s="5"/>
      <c r="F22" s="6" t="s">
        <v>75</v>
      </c>
      <c r="G22" s="6" t="s">
        <v>52</v>
      </c>
      <c r="H22" s="8"/>
      <c r="I22" s="11" t="s">
        <v>76</v>
      </c>
    </row>
  </sheetData>
  <mergeCells count="11">
    <mergeCell ref="G3:G7"/>
    <mergeCell ref="G13:G18"/>
    <mergeCell ref="H9:H12"/>
    <mergeCell ref="H17:H18"/>
    <mergeCell ref="H15:H16"/>
    <mergeCell ref="H13:H14"/>
    <mergeCell ref="I9:I12"/>
    <mergeCell ref="I17:I18"/>
    <mergeCell ref="I15:I16"/>
    <mergeCell ref="I13:I14"/>
    <mergeCell ref="G8:G1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90"/>
  <sheetViews>
    <sheetView workbookViewId="0">
      <selection activeCell="B1" sqref="B1"/>
    </sheetView>
  </sheetViews>
  <sheetFormatPr defaultRowHeight="16.5" x14ac:dyDescent="0.3"/>
  <cols>
    <col min="1" max="1" width="3.5" style="55" customWidth="1"/>
    <col min="2" max="7" width="9" style="55"/>
    <col min="8" max="8" width="12.625" style="55" bestFit="1" customWidth="1"/>
    <col min="9" max="16384" width="9" style="55"/>
  </cols>
  <sheetData>
    <row r="2" spans="2:17" x14ac:dyDescent="0.3">
      <c r="B2" s="56" t="s">
        <v>87</v>
      </c>
      <c r="C2" s="56"/>
      <c r="D2" s="56"/>
      <c r="F2" s="56" t="s">
        <v>89</v>
      </c>
      <c r="G2" s="56"/>
      <c r="H2" s="56"/>
      <c r="J2" s="42" t="s">
        <v>90</v>
      </c>
      <c r="K2" s="57"/>
      <c r="L2" s="57"/>
      <c r="M2" s="58"/>
      <c r="O2" s="56" t="s">
        <v>95</v>
      </c>
      <c r="P2" s="56"/>
      <c r="Q2" s="56"/>
    </row>
    <row r="3" spans="2:17" x14ac:dyDescent="0.3">
      <c r="B3" s="49" t="s">
        <v>82</v>
      </c>
      <c r="C3" s="49" t="s">
        <v>84</v>
      </c>
      <c r="D3" s="50">
        <v>3493</v>
      </c>
      <c r="F3" s="49" t="s">
        <v>81</v>
      </c>
      <c r="G3" s="49" t="s">
        <v>83</v>
      </c>
      <c r="H3" s="50">
        <v>3042</v>
      </c>
      <c r="J3" s="49" t="s">
        <v>81</v>
      </c>
      <c r="K3" s="49" t="s">
        <v>83</v>
      </c>
      <c r="L3" s="49" t="s">
        <v>91</v>
      </c>
      <c r="M3" s="49" t="s">
        <v>92</v>
      </c>
      <c r="O3" s="43" t="s">
        <v>93</v>
      </c>
      <c r="P3" s="43" t="s">
        <v>94</v>
      </c>
      <c r="Q3" s="43" t="s">
        <v>88</v>
      </c>
    </row>
    <row r="4" spans="2:17" x14ac:dyDescent="0.3">
      <c r="B4" s="51">
        <v>10</v>
      </c>
      <c r="C4" s="51">
        <f>(B4*2)</f>
        <v>20</v>
      </c>
      <c r="D4" s="52">
        <f t="shared" ref="D4:D67" ca="1" si="0">($D$4*($C4-20)/160)+50</f>
        <v>50</v>
      </c>
      <c r="F4" s="51">
        <v>10</v>
      </c>
      <c r="G4" s="51">
        <f>(F4*2)</f>
        <v>20</v>
      </c>
      <c r="H4" s="52">
        <f>($H$3*($G4-20)/160)+50</f>
        <v>50</v>
      </c>
      <c r="J4" s="53">
        <v>10</v>
      </c>
      <c r="K4" s="53">
        <f>(J4*2)</f>
        <v>20</v>
      </c>
      <c r="L4" s="53">
        <f>(K4-20)*19.4+50</f>
        <v>50</v>
      </c>
      <c r="M4" s="52">
        <f>(K4-20)*10.6+50</f>
        <v>50</v>
      </c>
      <c r="O4" s="44">
        <v>10</v>
      </c>
      <c r="P4" s="44">
        <f>(O4*2)</f>
        <v>20</v>
      </c>
      <c r="Q4" s="45">
        <f>(2200*(H4-20)/160)+50</f>
        <v>462.5</v>
      </c>
    </row>
    <row r="5" spans="2:17" x14ac:dyDescent="0.3">
      <c r="B5" s="49">
        <v>11</v>
      </c>
      <c r="C5" s="49">
        <f t="shared" ref="C5:C68" si="1">(B5*2)</f>
        <v>22</v>
      </c>
      <c r="D5" s="52">
        <f t="shared" ca="1" si="0"/>
        <v>93.662499999999994</v>
      </c>
      <c r="F5" s="49">
        <v>11</v>
      </c>
      <c r="G5" s="49">
        <f t="shared" ref="G5:G68" si="2">(F5*2)</f>
        <v>22</v>
      </c>
      <c r="H5" s="52">
        <f t="shared" ref="H5:H68" si="3">($H$3*($G5-20)/160)+50</f>
        <v>88.025000000000006</v>
      </c>
      <c r="J5" s="49">
        <v>11</v>
      </c>
      <c r="K5" s="49">
        <f t="shared" ref="K5:K68" si="4">(J5*2)</f>
        <v>22</v>
      </c>
      <c r="L5" s="52">
        <f t="shared" ref="L5:L68" si="5">(K5-20)*19.4+50</f>
        <v>88.8</v>
      </c>
      <c r="M5" s="52">
        <f t="shared" ref="M5:M68" si="6">(K5-20)*10.6+50</f>
        <v>71.2</v>
      </c>
      <c r="O5" s="43">
        <v>11</v>
      </c>
      <c r="P5" s="43">
        <f t="shared" ref="P5:P68" si="7">(O5*2)</f>
        <v>22</v>
      </c>
      <c r="Q5" s="54">
        <f>(2200*(P5-20)/160)+50</f>
        <v>77.5</v>
      </c>
    </row>
    <row r="6" spans="2:17" x14ac:dyDescent="0.3">
      <c r="B6" s="49">
        <v>12</v>
      </c>
      <c r="C6" s="49">
        <f t="shared" si="1"/>
        <v>24</v>
      </c>
      <c r="D6" s="52">
        <f t="shared" ca="1" si="0"/>
        <v>137.32499999999999</v>
      </c>
      <c r="F6" s="49">
        <v>12</v>
      </c>
      <c r="G6" s="49">
        <f t="shared" si="2"/>
        <v>24</v>
      </c>
      <c r="H6" s="52">
        <f t="shared" si="3"/>
        <v>126.05</v>
      </c>
      <c r="J6" s="49">
        <v>12</v>
      </c>
      <c r="K6" s="49">
        <f t="shared" si="4"/>
        <v>24</v>
      </c>
      <c r="L6" s="52">
        <f t="shared" si="5"/>
        <v>127.6</v>
      </c>
      <c r="M6" s="52">
        <f t="shared" si="6"/>
        <v>92.4</v>
      </c>
      <c r="O6" s="43">
        <v>12</v>
      </c>
      <c r="P6" s="43">
        <f t="shared" si="7"/>
        <v>24</v>
      </c>
      <c r="Q6" s="54">
        <f t="shared" ref="Q6:Q69" si="8">(2200*(P6-20)/160)+50</f>
        <v>105</v>
      </c>
    </row>
    <row r="7" spans="2:17" x14ac:dyDescent="0.3">
      <c r="B7" s="49">
        <v>13</v>
      </c>
      <c r="C7" s="49">
        <f t="shared" si="1"/>
        <v>26</v>
      </c>
      <c r="D7" s="52">
        <f t="shared" ca="1" si="0"/>
        <v>180.98750000000001</v>
      </c>
      <c r="F7" s="49">
        <v>13</v>
      </c>
      <c r="G7" s="49">
        <f t="shared" si="2"/>
        <v>26</v>
      </c>
      <c r="H7" s="52">
        <f t="shared" si="3"/>
        <v>164.07499999999999</v>
      </c>
      <c r="J7" s="49">
        <v>13</v>
      </c>
      <c r="K7" s="49">
        <f t="shared" si="4"/>
        <v>26</v>
      </c>
      <c r="L7" s="52">
        <f t="shared" si="5"/>
        <v>166.39999999999998</v>
      </c>
      <c r="M7" s="52">
        <f t="shared" si="6"/>
        <v>113.6</v>
      </c>
      <c r="O7" s="43">
        <v>13</v>
      </c>
      <c r="P7" s="43">
        <f t="shared" si="7"/>
        <v>26</v>
      </c>
      <c r="Q7" s="54">
        <f t="shared" si="8"/>
        <v>132.5</v>
      </c>
    </row>
    <row r="8" spans="2:17" x14ac:dyDescent="0.3">
      <c r="B8" s="49">
        <v>14</v>
      </c>
      <c r="C8" s="49">
        <f t="shared" si="1"/>
        <v>28</v>
      </c>
      <c r="D8" s="52">
        <f t="shared" ca="1" si="0"/>
        <v>224.65</v>
      </c>
      <c r="F8" s="49">
        <v>14</v>
      </c>
      <c r="G8" s="49">
        <f t="shared" si="2"/>
        <v>28</v>
      </c>
      <c r="H8" s="52">
        <f t="shared" si="3"/>
        <v>202.1</v>
      </c>
      <c r="J8" s="49">
        <v>14</v>
      </c>
      <c r="K8" s="49">
        <f t="shared" si="4"/>
        <v>28</v>
      </c>
      <c r="L8" s="52">
        <f t="shared" si="5"/>
        <v>205.2</v>
      </c>
      <c r="M8" s="52">
        <f t="shared" si="6"/>
        <v>134.80000000000001</v>
      </c>
      <c r="O8" s="43">
        <v>14</v>
      </c>
      <c r="P8" s="43">
        <f t="shared" si="7"/>
        <v>28</v>
      </c>
      <c r="Q8" s="54">
        <f t="shared" si="8"/>
        <v>160</v>
      </c>
    </row>
    <row r="9" spans="2:17" x14ac:dyDescent="0.3">
      <c r="B9" s="49">
        <v>15</v>
      </c>
      <c r="C9" s="49">
        <f t="shared" si="1"/>
        <v>30</v>
      </c>
      <c r="D9" s="52">
        <f t="shared" ca="1" si="0"/>
        <v>268.3125</v>
      </c>
      <c r="F9" s="49">
        <v>15</v>
      </c>
      <c r="G9" s="49">
        <f t="shared" si="2"/>
        <v>30</v>
      </c>
      <c r="H9" s="52">
        <f t="shared" si="3"/>
        <v>240.125</v>
      </c>
      <c r="J9" s="49">
        <v>15</v>
      </c>
      <c r="K9" s="49">
        <f t="shared" si="4"/>
        <v>30</v>
      </c>
      <c r="L9" s="52">
        <f t="shared" si="5"/>
        <v>244</v>
      </c>
      <c r="M9" s="52">
        <f t="shared" si="6"/>
        <v>156</v>
      </c>
      <c r="O9" s="43">
        <v>15</v>
      </c>
      <c r="P9" s="43">
        <f t="shared" si="7"/>
        <v>30</v>
      </c>
      <c r="Q9" s="54">
        <f t="shared" si="8"/>
        <v>187.5</v>
      </c>
    </row>
    <row r="10" spans="2:17" x14ac:dyDescent="0.3">
      <c r="B10" s="49">
        <v>16</v>
      </c>
      <c r="C10" s="49">
        <f t="shared" si="1"/>
        <v>32</v>
      </c>
      <c r="D10" s="52">
        <f t="shared" ca="1" si="0"/>
        <v>311.97500000000002</v>
      </c>
      <c r="F10" s="49">
        <v>16</v>
      </c>
      <c r="G10" s="49">
        <f t="shared" si="2"/>
        <v>32</v>
      </c>
      <c r="H10" s="52">
        <f t="shared" si="3"/>
        <v>278.14999999999998</v>
      </c>
      <c r="J10" s="49">
        <v>16</v>
      </c>
      <c r="K10" s="49">
        <f t="shared" si="4"/>
        <v>32</v>
      </c>
      <c r="L10" s="52">
        <f t="shared" si="5"/>
        <v>282.79999999999995</v>
      </c>
      <c r="M10" s="52">
        <f t="shared" si="6"/>
        <v>177.2</v>
      </c>
      <c r="O10" s="43">
        <v>16</v>
      </c>
      <c r="P10" s="43">
        <f t="shared" si="7"/>
        <v>32</v>
      </c>
      <c r="Q10" s="54">
        <f t="shared" si="8"/>
        <v>215</v>
      </c>
    </row>
    <row r="11" spans="2:17" x14ac:dyDescent="0.3">
      <c r="B11" s="49">
        <v>17</v>
      </c>
      <c r="C11" s="49">
        <f t="shared" si="1"/>
        <v>34</v>
      </c>
      <c r="D11" s="52">
        <f t="shared" ca="1" si="0"/>
        <v>355.63749999999999</v>
      </c>
      <c r="F11" s="49">
        <v>17</v>
      </c>
      <c r="G11" s="49">
        <f t="shared" si="2"/>
        <v>34</v>
      </c>
      <c r="H11" s="52">
        <f t="shared" si="3"/>
        <v>316.17500000000001</v>
      </c>
      <c r="J11" s="49">
        <v>17</v>
      </c>
      <c r="K11" s="49">
        <f t="shared" si="4"/>
        <v>34</v>
      </c>
      <c r="L11" s="52">
        <f t="shared" si="5"/>
        <v>321.59999999999997</v>
      </c>
      <c r="M11" s="52">
        <f t="shared" si="6"/>
        <v>198.4</v>
      </c>
      <c r="O11" s="43">
        <v>17</v>
      </c>
      <c r="P11" s="43">
        <f t="shared" si="7"/>
        <v>34</v>
      </c>
      <c r="Q11" s="54">
        <f t="shared" si="8"/>
        <v>242.5</v>
      </c>
    </row>
    <row r="12" spans="2:17" x14ac:dyDescent="0.3">
      <c r="B12" s="49">
        <v>18</v>
      </c>
      <c r="C12" s="49">
        <f t="shared" si="1"/>
        <v>36</v>
      </c>
      <c r="D12" s="52">
        <f t="shared" ca="1" si="0"/>
        <v>399.3</v>
      </c>
      <c r="F12" s="49">
        <v>18</v>
      </c>
      <c r="G12" s="49">
        <f t="shared" si="2"/>
        <v>36</v>
      </c>
      <c r="H12" s="52">
        <f t="shared" si="3"/>
        <v>354.2</v>
      </c>
      <c r="J12" s="49">
        <v>18</v>
      </c>
      <c r="K12" s="49">
        <f t="shared" si="4"/>
        <v>36</v>
      </c>
      <c r="L12" s="52">
        <f t="shared" si="5"/>
        <v>360.4</v>
      </c>
      <c r="M12" s="52">
        <f t="shared" si="6"/>
        <v>219.6</v>
      </c>
      <c r="O12" s="43">
        <v>18</v>
      </c>
      <c r="P12" s="43">
        <f t="shared" si="7"/>
        <v>36</v>
      </c>
      <c r="Q12" s="54">
        <f t="shared" si="8"/>
        <v>270</v>
      </c>
    </row>
    <row r="13" spans="2:17" x14ac:dyDescent="0.3">
      <c r="B13" s="49">
        <v>19</v>
      </c>
      <c r="C13" s="49">
        <f t="shared" si="1"/>
        <v>38</v>
      </c>
      <c r="D13" s="52">
        <f t="shared" ca="1" si="0"/>
        <v>442.96249999999998</v>
      </c>
      <c r="F13" s="49">
        <v>19</v>
      </c>
      <c r="G13" s="49">
        <f t="shared" si="2"/>
        <v>38</v>
      </c>
      <c r="H13" s="52">
        <f t="shared" si="3"/>
        <v>392.22500000000002</v>
      </c>
      <c r="J13" s="49">
        <v>19</v>
      </c>
      <c r="K13" s="49">
        <f t="shared" si="4"/>
        <v>38</v>
      </c>
      <c r="L13" s="52">
        <f t="shared" si="5"/>
        <v>399.2</v>
      </c>
      <c r="M13" s="52">
        <f t="shared" si="6"/>
        <v>240.79999999999998</v>
      </c>
      <c r="O13" s="43">
        <v>19</v>
      </c>
      <c r="P13" s="43">
        <f t="shared" si="7"/>
        <v>38</v>
      </c>
      <c r="Q13" s="54">
        <f t="shared" si="8"/>
        <v>297.5</v>
      </c>
    </row>
    <row r="14" spans="2:17" x14ac:dyDescent="0.3">
      <c r="B14" s="49">
        <v>20</v>
      </c>
      <c r="C14" s="49">
        <f t="shared" si="1"/>
        <v>40</v>
      </c>
      <c r="D14" s="52">
        <f t="shared" ca="1" si="0"/>
        <v>486.625</v>
      </c>
      <c r="F14" s="49">
        <v>20</v>
      </c>
      <c r="G14" s="49">
        <f t="shared" si="2"/>
        <v>40</v>
      </c>
      <c r="H14" s="52">
        <f t="shared" si="3"/>
        <v>430.25</v>
      </c>
      <c r="J14" s="49">
        <v>20</v>
      </c>
      <c r="K14" s="49">
        <f t="shared" si="4"/>
        <v>40</v>
      </c>
      <c r="L14" s="52">
        <f t="shared" si="5"/>
        <v>438</v>
      </c>
      <c r="M14" s="52">
        <f t="shared" si="6"/>
        <v>262</v>
      </c>
      <c r="O14" s="43">
        <v>20</v>
      </c>
      <c r="P14" s="43">
        <f t="shared" si="7"/>
        <v>40</v>
      </c>
      <c r="Q14" s="54">
        <f t="shared" si="8"/>
        <v>325</v>
      </c>
    </row>
    <row r="15" spans="2:17" x14ac:dyDescent="0.3">
      <c r="B15" s="49">
        <v>21</v>
      </c>
      <c r="C15" s="49">
        <f t="shared" si="1"/>
        <v>42</v>
      </c>
      <c r="D15" s="52">
        <f t="shared" ca="1" si="0"/>
        <v>530.28750000000002</v>
      </c>
      <c r="F15" s="49">
        <v>21</v>
      </c>
      <c r="G15" s="49">
        <f t="shared" si="2"/>
        <v>42</v>
      </c>
      <c r="H15" s="52">
        <f t="shared" si="3"/>
        <v>468.27499999999998</v>
      </c>
      <c r="J15" s="49">
        <v>21</v>
      </c>
      <c r="K15" s="49">
        <f t="shared" si="4"/>
        <v>42</v>
      </c>
      <c r="L15" s="52">
        <f t="shared" si="5"/>
        <v>476.79999999999995</v>
      </c>
      <c r="M15" s="52">
        <f t="shared" si="6"/>
        <v>283.2</v>
      </c>
      <c r="O15" s="43">
        <v>21</v>
      </c>
      <c r="P15" s="43">
        <f t="shared" si="7"/>
        <v>42</v>
      </c>
      <c r="Q15" s="54">
        <f t="shared" si="8"/>
        <v>352.5</v>
      </c>
    </row>
    <row r="16" spans="2:17" x14ac:dyDescent="0.3">
      <c r="B16" s="49">
        <v>22</v>
      </c>
      <c r="C16" s="49">
        <f t="shared" si="1"/>
        <v>44</v>
      </c>
      <c r="D16" s="52">
        <f t="shared" ca="1" si="0"/>
        <v>573.95000000000005</v>
      </c>
      <c r="F16" s="49">
        <v>22</v>
      </c>
      <c r="G16" s="49">
        <f t="shared" si="2"/>
        <v>44</v>
      </c>
      <c r="H16" s="52">
        <f t="shared" si="3"/>
        <v>506.3</v>
      </c>
      <c r="J16" s="49">
        <v>22</v>
      </c>
      <c r="K16" s="49">
        <f t="shared" si="4"/>
        <v>44</v>
      </c>
      <c r="L16" s="52">
        <f t="shared" si="5"/>
        <v>515.59999999999991</v>
      </c>
      <c r="M16" s="52">
        <f t="shared" si="6"/>
        <v>304.39999999999998</v>
      </c>
      <c r="O16" s="43">
        <v>22</v>
      </c>
      <c r="P16" s="43">
        <f t="shared" si="7"/>
        <v>44</v>
      </c>
      <c r="Q16" s="54">
        <f t="shared" si="8"/>
        <v>380</v>
      </c>
    </row>
    <row r="17" spans="2:17" x14ac:dyDescent="0.3">
      <c r="B17" s="49">
        <v>23</v>
      </c>
      <c r="C17" s="49">
        <f t="shared" si="1"/>
        <v>46</v>
      </c>
      <c r="D17" s="52">
        <f t="shared" ca="1" si="0"/>
        <v>617.61249999999995</v>
      </c>
      <c r="F17" s="49">
        <v>23</v>
      </c>
      <c r="G17" s="49">
        <f t="shared" si="2"/>
        <v>46</v>
      </c>
      <c r="H17" s="52">
        <f t="shared" si="3"/>
        <v>544.32500000000005</v>
      </c>
      <c r="J17" s="49">
        <v>23</v>
      </c>
      <c r="K17" s="49">
        <f t="shared" si="4"/>
        <v>46</v>
      </c>
      <c r="L17" s="52">
        <f t="shared" si="5"/>
        <v>554.4</v>
      </c>
      <c r="M17" s="52">
        <f t="shared" si="6"/>
        <v>325.59999999999997</v>
      </c>
      <c r="O17" s="43">
        <v>23</v>
      </c>
      <c r="P17" s="43">
        <f t="shared" si="7"/>
        <v>46</v>
      </c>
      <c r="Q17" s="54">
        <f t="shared" si="8"/>
        <v>407.5</v>
      </c>
    </row>
    <row r="18" spans="2:17" x14ac:dyDescent="0.3">
      <c r="B18" s="49">
        <v>24</v>
      </c>
      <c r="C18" s="49">
        <f t="shared" si="1"/>
        <v>48</v>
      </c>
      <c r="D18" s="52">
        <f t="shared" ca="1" si="0"/>
        <v>661.27499999999998</v>
      </c>
      <c r="F18" s="49">
        <v>24</v>
      </c>
      <c r="G18" s="49">
        <f t="shared" si="2"/>
        <v>48</v>
      </c>
      <c r="H18" s="52">
        <f t="shared" si="3"/>
        <v>582.35</v>
      </c>
      <c r="J18" s="49">
        <v>24</v>
      </c>
      <c r="K18" s="49">
        <f t="shared" si="4"/>
        <v>48</v>
      </c>
      <c r="L18" s="52">
        <f t="shared" si="5"/>
        <v>593.19999999999993</v>
      </c>
      <c r="M18" s="52">
        <f t="shared" si="6"/>
        <v>346.8</v>
      </c>
      <c r="O18" s="43">
        <v>24</v>
      </c>
      <c r="P18" s="43">
        <f t="shared" si="7"/>
        <v>48</v>
      </c>
      <c r="Q18" s="54">
        <f t="shared" si="8"/>
        <v>435</v>
      </c>
    </row>
    <row r="19" spans="2:17" x14ac:dyDescent="0.3">
      <c r="B19" s="49">
        <v>25</v>
      </c>
      <c r="C19" s="49">
        <f t="shared" si="1"/>
        <v>50</v>
      </c>
      <c r="D19" s="52">
        <f t="shared" ca="1" si="0"/>
        <v>704.9375</v>
      </c>
      <c r="F19" s="49">
        <v>25</v>
      </c>
      <c r="G19" s="49">
        <f t="shared" si="2"/>
        <v>50</v>
      </c>
      <c r="H19" s="52">
        <f t="shared" si="3"/>
        <v>620.375</v>
      </c>
      <c r="J19" s="49">
        <v>25</v>
      </c>
      <c r="K19" s="49">
        <f t="shared" si="4"/>
        <v>50</v>
      </c>
      <c r="L19" s="52">
        <f t="shared" si="5"/>
        <v>632</v>
      </c>
      <c r="M19" s="52">
        <f t="shared" si="6"/>
        <v>368</v>
      </c>
      <c r="O19" s="43">
        <v>25</v>
      </c>
      <c r="P19" s="43">
        <f t="shared" si="7"/>
        <v>50</v>
      </c>
      <c r="Q19" s="54">
        <f t="shared" si="8"/>
        <v>462.5</v>
      </c>
    </row>
    <row r="20" spans="2:17" x14ac:dyDescent="0.3">
      <c r="B20" s="49">
        <v>26</v>
      </c>
      <c r="C20" s="49">
        <f t="shared" si="1"/>
        <v>52</v>
      </c>
      <c r="D20" s="52">
        <f t="shared" ca="1" si="0"/>
        <v>748.6</v>
      </c>
      <c r="F20" s="49">
        <v>26</v>
      </c>
      <c r="G20" s="49">
        <f t="shared" si="2"/>
        <v>52</v>
      </c>
      <c r="H20" s="52">
        <f t="shared" si="3"/>
        <v>658.4</v>
      </c>
      <c r="J20" s="49">
        <v>26</v>
      </c>
      <c r="K20" s="49">
        <f t="shared" si="4"/>
        <v>52</v>
      </c>
      <c r="L20" s="52">
        <f t="shared" si="5"/>
        <v>670.8</v>
      </c>
      <c r="M20" s="52">
        <f t="shared" si="6"/>
        <v>389.2</v>
      </c>
      <c r="O20" s="43">
        <v>26</v>
      </c>
      <c r="P20" s="43">
        <f t="shared" si="7"/>
        <v>52</v>
      </c>
      <c r="Q20" s="54">
        <f t="shared" si="8"/>
        <v>490</v>
      </c>
    </row>
    <row r="21" spans="2:17" x14ac:dyDescent="0.3">
      <c r="B21" s="49">
        <v>27</v>
      </c>
      <c r="C21" s="49">
        <f t="shared" si="1"/>
        <v>54</v>
      </c>
      <c r="D21" s="52">
        <f t="shared" ca="1" si="0"/>
        <v>792.26250000000005</v>
      </c>
      <c r="F21" s="49">
        <v>27</v>
      </c>
      <c r="G21" s="49">
        <f t="shared" si="2"/>
        <v>54</v>
      </c>
      <c r="H21" s="52">
        <f t="shared" si="3"/>
        <v>696.42499999999995</v>
      </c>
      <c r="J21" s="49">
        <v>27</v>
      </c>
      <c r="K21" s="49">
        <f t="shared" si="4"/>
        <v>54</v>
      </c>
      <c r="L21" s="52">
        <f t="shared" si="5"/>
        <v>709.59999999999991</v>
      </c>
      <c r="M21" s="52">
        <f t="shared" si="6"/>
        <v>410.4</v>
      </c>
      <c r="O21" s="43">
        <v>27</v>
      </c>
      <c r="P21" s="43">
        <f t="shared" si="7"/>
        <v>54</v>
      </c>
      <c r="Q21" s="54">
        <f t="shared" si="8"/>
        <v>517.5</v>
      </c>
    </row>
    <row r="22" spans="2:17" x14ac:dyDescent="0.3">
      <c r="B22" s="49">
        <v>28</v>
      </c>
      <c r="C22" s="49">
        <f t="shared" si="1"/>
        <v>56</v>
      </c>
      <c r="D22" s="52">
        <f t="shared" ca="1" si="0"/>
        <v>835.92499999999995</v>
      </c>
      <c r="F22" s="49">
        <v>28</v>
      </c>
      <c r="G22" s="49">
        <f t="shared" si="2"/>
        <v>56</v>
      </c>
      <c r="H22" s="52">
        <f t="shared" si="3"/>
        <v>734.45</v>
      </c>
      <c r="J22" s="49">
        <v>28</v>
      </c>
      <c r="K22" s="49">
        <f t="shared" si="4"/>
        <v>56</v>
      </c>
      <c r="L22" s="52">
        <f t="shared" si="5"/>
        <v>748.4</v>
      </c>
      <c r="M22" s="52">
        <f t="shared" si="6"/>
        <v>431.59999999999997</v>
      </c>
      <c r="O22" s="43">
        <v>28</v>
      </c>
      <c r="P22" s="43">
        <f t="shared" si="7"/>
        <v>56</v>
      </c>
      <c r="Q22" s="54">
        <f t="shared" si="8"/>
        <v>545</v>
      </c>
    </row>
    <row r="23" spans="2:17" x14ac:dyDescent="0.3">
      <c r="B23" s="49">
        <v>29</v>
      </c>
      <c r="C23" s="49">
        <f t="shared" si="1"/>
        <v>58</v>
      </c>
      <c r="D23" s="52">
        <f t="shared" ca="1" si="0"/>
        <v>879.58749999999998</v>
      </c>
      <c r="F23" s="49">
        <v>29</v>
      </c>
      <c r="G23" s="49">
        <f t="shared" si="2"/>
        <v>58</v>
      </c>
      <c r="H23" s="52">
        <f t="shared" si="3"/>
        <v>772.47500000000002</v>
      </c>
      <c r="J23" s="49">
        <v>29</v>
      </c>
      <c r="K23" s="49">
        <f t="shared" si="4"/>
        <v>58</v>
      </c>
      <c r="L23" s="52">
        <f t="shared" si="5"/>
        <v>787.19999999999993</v>
      </c>
      <c r="M23" s="52">
        <f t="shared" si="6"/>
        <v>452.8</v>
      </c>
      <c r="O23" s="43">
        <v>29</v>
      </c>
      <c r="P23" s="43">
        <f t="shared" si="7"/>
        <v>58</v>
      </c>
      <c r="Q23" s="54">
        <f t="shared" si="8"/>
        <v>572.5</v>
      </c>
    </row>
    <row r="24" spans="2:17" x14ac:dyDescent="0.3">
      <c r="B24" s="49">
        <v>30</v>
      </c>
      <c r="C24" s="49">
        <f t="shared" si="1"/>
        <v>60</v>
      </c>
      <c r="D24" s="52">
        <f t="shared" ca="1" si="0"/>
        <v>923.25</v>
      </c>
      <c r="F24" s="49">
        <v>30</v>
      </c>
      <c r="G24" s="49">
        <f t="shared" si="2"/>
        <v>60</v>
      </c>
      <c r="H24" s="52">
        <f t="shared" si="3"/>
        <v>810.5</v>
      </c>
      <c r="J24" s="49">
        <v>30</v>
      </c>
      <c r="K24" s="49">
        <f t="shared" si="4"/>
        <v>60</v>
      </c>
      <c r="L24" s="52">
        <f t="shared" si="5"/>
        <v>826</v>
      </c>
      <c r="M24" s="52">
        <f t="shared" si="6"/>
        <v>474</v>
      </c>
      <c r="O24" s="43">
        <v>30</v>
      </c>
      <c r="P24" s="43">
        <f t="shared" si="7"/>
        <v>60</v>
      </c>
      <c r="Q24" s="54">
        <f t="shared" si="8"/>
        <v>600</v>
      </c>
    </row>
    <row r="25" spans="2:17" x14ac:dyDescent="0.3">
      <c r="B25" s="49">
        <v>31</v>
      </c>
      <c r="C25" s="49">
        <f t="shared" si="1"/>
        <v>62</v>
      </c>
      <c r="D25" s="52">
        <f t="shared" ca="1" si="0"/>
        <v>966.91250000000002</v>
      </c>
      <c r="F25" s="49">
        <v>31</v>
      </c>
      <c r="G25" s="49">
        <f t="shared" si="2"/>
        <v>62</v>
      </c>
      <c r="H25" s="52">
        <f t="shared" si="3"/>
        <v>848.52499999999998</v>
      </c>
      <c r="J25" s="49">
        <v>31</v>
      </c>
      <c r="K25" s="49">
        <f t="shared" si="4"/>
        <v>62</v>
      </c>
      <c r="L25" s="52">
        <f t="shared" si="5"/>
        <v>864.8</v>
      </c>
      <c r="M25" s="52">
        <f t="shared" si="6"/>
        <v>495.2</v>
      </c>
      <c r="O25" s="43">
        <v>31</v>
      </c>
      <c r="P25" s="43">
        <f t="shared" si="7"/>
        <v>62</v>
      </c>
      <c r="Q25" s="54">
        <f t="shared" si="8"/>
        <v>627.5</v>
      </c>
    </row>
    <row r="26" spans="2:17" x14ac:dyDescent="0.3">
      <c r="B26" s="49">
        <v>32</v>
      </c>
      <c r="C26" s="49">
        <f t="shared" si="1"/>
        <v>64</v>
      </c>
      <c r="D26" s="52">
        <f t="shared" ca="1" si="0"/>
        <v>1010.575</v>
      </c>
      <c r="F26" s="49">
        <v>32</v>
      </c>
      <c r="G26" s="49">
        <f t="shared" si="2"/>
        <v>64</v>
      </c>
      <c r="H26" s="52">
        <f t="shared" si="3"/>
        <v>886.55</v>
      </c>
      <c r="J26" s="49">
        <v>32</v>
      </c>
      <c r="K26" s="49">
        <f t="shared" si="4"/>
        <v>64</v>
      </c>
      <c r="L26" s="52">
        <f t="shared" si="5"/>
        <v>903.59999999999991</v>
      </c>
      <c r="M26" s="52">
        <f t="shared" si="6"/>
        <v>516.4</v>
      </c>
      <c r="O26" s="43">
        <v>32</v>
      </c>
      <c r="P26" s="43">
        <f t="shared" si="7"/>
        <v>64</v>
      </c>
      <c r="Q26" s="54">
        <f t="shared" si="8"/>
        <v>655</v>
      </c>
    </row>
    <row r="27" spans="2:17" x14ac:dyDescent="0.3">
      <c r="B27" s="49">
        <v>33</v>
      </c>
      <c r="C27" s="49">
        <f t="shared" si="1"/>
        <v>66</v>
      </c>
      <c r="D27" s="52">
        <f t="shared" ca="1" si="0"/>
        <v>1054.2375</v>
      </c>
      <c r="F27" s="49">
        <v>33</v>
      </c>
      <c r="G27" s="49">
        <f t="shared" si="2"/>
        <v>66</v>
      </c>
      <c r="H27" s="52">
        <f t="shared" si="3"/>
        <v>924.57500000000005</v>
      </c>
      <c r="J27" s="49">
        <v>33</v>
      </c>
      <c r="K27" s="49">
        <f t="shared" si="4"/>
        <v>66</v>
      </c>
      <c r="L27" s="52">
        <f t="shared" si="5"/>
        <v>942.4</v>
      </c>
      <c r="M27" s="52">
        <f t="shared" si="6"/>
        <v>537.59999999999991</v>
      </c>
      <c r="O27" s="43">
        <v>33</v>
      </c>
      <c r="P27" s="43">
        <f t="shared" si="7"/>
        <v>66</v>
      </c>
      <c r="Q27" s="54">
        <f t="shared" si="8"/>
        <v>682.5</v>
      </c>
    </row>
    <row r="28" spans="2:17" x14ac:dyDescent="0.3">
      <c r="B28" s="49">
        <v>34</v>
      </c>
      <c r="C28" s="49">
        <f t="shared" si="1"/>
        <v>68</v>
      </c>
      <c r="D28" s="52">
        <f t="shared" ca="1" si="0"/>
        <v>1097.9000000000001</v>
      </c>
      <c r="F28" s="49">
        <v>34</v>
      </c>
      <c r="G28" s="49">
        <f t="shared" si="2"/>
        <v>68</v>
      </c>
      <c r="H28" s="52">
        <f t="shared" si="3"/>
        <v>962.6</v>
      </c>
      <c r="J28" s="49">
        <v>34</v>
      </c>
      <c r="K28" s="49">
        <f t="shared" si="4"/>
        <v>68</v>
      </c>
      <c r="L28" s="52">
        <f t="shared" si="5"/>
        <v>981.19999999999993</v>
      </c>
      <c r="M28" s="52">
        <f t="shared" si="6"/>
        <v>558.79999999999995</v>
      </c>
      <c r="O28" s="43">
        <v>34</v>
      </c>
      <c r="P28" s="43">
        <f t="shared" si="7"/>
        <v>68</v>
      </c>
      <c r="Q28" s="54">
        <f t="shared" si="8"/>
        <v>710</v>
      </c>
    </row>
    <row r="29" spans="2:17" x14ac:dyDescent="0.3">
      <c r="B29" s="49">
        <v>35</v>
      </c>
      <c r="C29" s="49">
        <f t="shared" si="1"/>
        <v>70</v>
      </c>
      <c r="D29" s="52">
        <f t="shared" ca="1" si="0"/>
        <v>1141.5625</v>
      </c>
      <c r="F29" s="49">
        <v>35</v>
      </c>
      <c r="G29" s="49">
        <f t="shared" si="2"/>
        <v>70</v>
      </c>
      <c r="H29" s="52">
        <f t="shared" si="3"/>
        <v>1000.625</v>
      </c>
      <c r="J29" s="49">
        <v>35</v>
      </c>
      <c r="K29" s="49">
        <f t="shared" si="4"/>
        <v>70</v>
      </c>
      <c r="L29" s="52">
        <f t="shared" si="5"/>
        <v>1019.9999999999999</v>
      </c>
      <c r="M29" s="52">
        <f t="shared" si="6"/>
        <v>580</v>
      </c>
      <c r="O29" s="43">
        <v>35</v>
      </c>
      <c r="P29" s="43">
        <f t="shared" si="7"/>
        <v>70</v>
      </c>
      <c r="Q29" s="54">
        <f t="shared" si="8"/>
        <v>737.5</v>
      </c>
    </row>
    <row r="30" spans="2:17" x14ac:dyDescent="0.3">
      <c r="B30" s="49">
        <v>36</v>
      </c>
      <c r="C30" s="49">
        <f t="shared" si="1"/>
        <v>72</v>
      </c>
      <c r="D30" s="52">
        <f t="shared" ca="1" si="0"/>
        <v>1185.2249999999999</v>
      </c>
      <c r="F30" s="49">
        <v>36</v>
      </c>
      <c r="G30" s="49">
        <f t="shared" si="2"/>
        <v>72</v>
      </c>
      <c r="H30" s="52">
        <f t="shared" si="3"/>
        <v>1038.6500000000001</v>
      </c>
      <c r="J30" s="49">
        <v>36</v>
      </c>
      <c r="K30" s="49">
        <f t="shared" si="4"/>
        <v>72</v>
      </c>
      <c r="L30" s="52">
        <f t="shared" si="5"/>
        <v>1058.8</v>
      </c>
      <c r="M30" s="52">
        <f t="shared" si="6"/>
        <v>601.19999999999993</v>
      </c>
      <c r="O30" s="43">
        <v>36</v>
      </c>
      <c r="P30" s="43">
        <f t="shared" si="7"/>
        <v>72</v>
      </c>
      <c r="Q30" s="54">
        <f t="shared" si="8"/>
        <v>765</v>
      </c>
    </row>
    <row r="31" spans="2:17" x14ac:dyDescent="0.3">
      <c r="B31" s="49">
        <v>37</v>
      </c>
      <c r="C31" s="49">
        <f t="shared" si="1"/>
        <v>74</v>
      </c>
      <c r="D31" s="52">
        <f t="shared" ca="1" si="0"/>
        <v>1228.8875</v>
      </c>
      <c r="F31" s="49">
        <v>37</v>
      </c>
      <c r="G31" s="49">
        <f t="shared" si="2"/>
        <v>74</v>
      </c>
      <c r="H31" s="52">
        <f t="shared" si="3"/>
        <v>1076.675</v>
      </c>
      <c r="J31" s="49">
        <v>37</v>
      </c>
      <c r="K31" s="49">
        <f t="shared" si="4"/>
        <v>74</v>
      </c>
      <c r="L31" s="52">
        <f t="shared" si="5"/>
        <v>1097.5999999999999</v>
      </c>
      <c r="M31" s="52">
        <f t="shared" si="6"/>
        <v>622.4</v>
      </c>
      <c r="O31" s="43">
        <v>37</v>
      </c>
      <c r="P31" s="43">
        <f t="shared" si="7"/>
        <v>74</v>
      </c>
      <c r="Q31" s="54">
        <f t="shared" si="8"/>
        <v>792.5</v>
      </c>
    </row>
    <row r="32" spans="2:17" x14ac:dyDescent="0.3">
      <c r="B32" s="49">
        <v>38</v>
      </c>
      <c r="C32" s="49">
        <f t="shared" si="1"/>
        <v>76</v>
      </c>
      <c r="D32" s="52">
        <f t="shared" ca="1" si="0"/>
        <v>1272.55</v>
      </c>
      <c r="F32" s="49">
        <v>38</v>
      </c>
      <c r="G32" s="49">
        <f t="shared" si="2"/>
        <v>76</v>
      </c>
      <c r="H32" s="52">
        <f t="shared" si="3"/>
        <v>1114.7</v>
      </c>
      <c r="J32" s="49">
        <v>38</v>
      </c>
      <c r="K32" s="49">
        <f t="shared" si="4"/>
        <v>76</v>
      </c>
      <c r="L32" s="52">
        <f t="shared" si="5"/>
        <v>1136.3999999999999</v>
      </c>
      <c r="M32" s="52">
        <f t="shared" si="6"/>
        <v>643.6</v>
      </c>
      <c r="O32" s="43">
        <v>38</v>
      </c>
      <c r="P32" s="43">
        <f t="shared" si="7"/>
        <v>76</v>
      </c>
      <c r="Q32" s="54">
        <f t="shared" si="8"/>
        <v>820</v>
      </c>
    </row>
    <row r="33" spans="2:17" x14ac:dyDescent="0.3">
      <c r="B33" s="49">
        <v>39</v>
      </c>
      <c r="C33" s="49">
        <f t="shared" si="1"/>
        <v>78</v>
      </c>
      <c r="D33" s="52">
        <f t="shared" ca="1" si="0"/>
        <v>1316.2125000000001</v>
      </c>
      <c r="F33" s="49">
        <v>39</v>
      </c>
      <c r="G33" s="49">
        <f t="shared" si="2"/>
        <v>78</v>
      </c>
      <c r="H33" s="52">
        <f t="shared" si="3"/>
        <v>1152.7249999999999</v>
      </c>
      <c r="J33" s="49">
        <v>39</v>
      </c>
      <c r="K33" s="49">
        <f t="shared" si="4"/>
        <v>78</v>
      </c>
      <c r="L33" s="52">
        <f t="shared" si="5"/>
        <v>1175.1999999999998</v>
      </c>
      <c r="M33" s="52">
        <f t="shared" si="6"/>
        <v>664.8</v>
      </c>
      <c r="O33" s="43">
        <v>39</v>
      </c>
      <c r="P33" s="43">
        <f t="shared" si="7"/>
        <v>78</v>
      </c>
      <c r="Q33" s="54">
        <f t="shared" si="8"/>
        <v>847.5</v>
      </c>
    </row>
    <row r="34" spans="2:17" x14ac:dyDescent="0.3">
      <c r="B34" s="49">
        <v>40</v>
      </c>
      <c r="C34" s="49">
        <f t="shared" si="1"/>
        <v>80</v>
      </c>
      <c r="D34" s="52">
        <f t="shared" ca="1" si="0"/>
        <v>1359.875</v>
      </c>
      <c r="F34" s="49">
        <v>40</v>
      </c>
      <c r="G34" s="49">
        <f t="shared" si="2"/>
        <v>80</v>
      </c>
      <c r="H34" s="52">
        <f t="shared" si="3"/>
        <v>1190.75</v>
      </c>
      <c r="J34" s="49">
        <v>40</v>
      </c>
      <c r="K34" s="49">
        <f t="shared" si="4"/>
        <v>80</v>
      </c>
      <c r="L34" s="52">
        <f t="shared" si="5"/>
        <v>1214</v>
      </c>
      <c r="M34" s="52">
        <f t="shared" si="6"/>
        <v>686</v>
      </c>
      <c r="O34" s="43">
        <v>40</v>
      </c>
      <c r="P34" s="43">
        <f t="shared" si="7"/>
        <v>80</v>
      </c>
      <c r="Q34" s="54">
        <f t="shared" si="8"/>
        <v>875</v>
      </c>
    </row>
    <row r="35" spans="2:17" x14ac:dyDescent="0.3">
      <c r="B35" s="49">
        <v>41</v>
      </c>
      <c r="C35" s="49">
        <f t="shared" si="1"/>
        <v>82</v>
      </c>
      <c r="D35" s="52">
        <f t="shared" ca="1" si="0"/>
        <v>1403.5374999999999</v>
      </c>
      <c r="F35" s="49">
        <v>41</v>
      </c>
      <c r="G35" s="49">
        <f t="shared" si="2"/>
        <v>82</v>
      </c>
      <c r="H35" s="52">
        <f t="shared" si="3"/>
        <v>1228.7750000000001</v>
      </c>
      <c r="J35" s="49">
        <v>41</v>
      </c>
      <c r="K35" s="49">
        <f t="shared" si="4"/>
        <v>82</v>
      </c>
      <c r="L35" s="52">
        <f t="shared" si="5"/>
        <v>1252.8</v>
      </c>
      <c r="M35" s="52">
        <f t="shared" si="6"/>
        <v>707.19999999999993</v>
      </c>
      <c r="O35" s="43">
        <v>41</v>
      </c>
      <c r="P35" s="43">
        <f t="shared" si="7"/>
        <v>82</v>
      </c>
      <c r="Q35" s="54">
        <f t="shared" si="8"/>
        <v>902.5</v>
      </c>
    </row>
    <row r="36" spans="2:17" x14ac:dyDescent="0.3">
      <c r="B36" s="49">
        <v>42</v>
      </c>
      <c r="C36" s="49">
        <f t="shared" si="1"/>
        <v>84</v>
      </c>
      <c r="D36" s="52">
        <f t="shared" ca="1" si="0"/>
        <v>1447.2</v>
      </c>
      <c r="F36" s="49">
        <v>42</v>
      </c>
      <c r="G36" s="49">
        <f t="shared" si="2"/>
        <v>84</v>
      </c>
      <c r="H36" s="52">
        <f t="shared" si="3"/>
        <v>1266.8</v>
      </c>
      <c r="J36" s="49">
        <v>42</v>
      </c>
      <c r="K36" s="49">
        <f t="shared" si="4"/>
        <v>84</v>
      </c>
      <c r="L36" s="52">
        <f t="shared" si="5"/>
        <v>1291.5999999999999</v>
      </c>
      <c r="M36" s="52">
        <f t="shared" si="6"/>
        <v>728.4</v>
      </c>
      <c r="O36" s="43">
        <v>42</v>
      </c>
      <c r="P36" s="43">
        <f t="shared" si="7"/>
        <v>84</v>
      </c>
      <c r="Q36" s="54">
        <f t="shared" si="8"/>
        <v>930</v>
      </c>
    </row>
    <row r="37" spans="2:17" x14ac:dyDescent="0.3">
      <c r="B37" s="49">
        <v>43</v>
      </c>
      <c r="C37" s="49">
        <f t="shared" si="1"/>
        <v>86</v>
      </c>
      <c r="D37" s="52">
        <f t="shared" ca="1" si="0"/>
        <v>1490.8625</v>
      </c>
      <c r="F37" s="49">
        <v>43</v>
      </c>
      <c r="G37" s="49">
        <f t="shared" si="2"/>
        <v>86</v>
      </c>
      <c r="H37" s="52">
        <f t="shared" si="3"/>
        <v>1304.825</v>
      </c>
      <c r="J37" s="49">
        <v>43</v>
      </c>
      <c r="K37" s="49">
        <f t="shared" si="4"/>
        <v>86</v>
      </c>
      <c r="L37" s="52">
        <f t="shared" si="5"/>
        <v>1330.3999999999999</v>
      </c>
      <c r="M37" s="52">
        <f t="shared" si="6"/>
        <v>749.6</v>
      </c>
      <c r="O37" s="43">
        <v>43</v>
      </c>
      <c r="P37" s="43">
        <f t="shared" si="7"/>
        <v>86</v>
      </c>
      <c r="Q37" s="54">
        <f t="shared" si="8"/>
        <v>957.5</v>
      </c>
    </row>
    <row r="38" spans="2:17" x14ac:dyDescent="0.3">
      <c r="B38" s="49">
        <v>44</v>
      </c>
      <c r="C38" s="49">
        <f t="shared" si="1"/>
        <v>88</v>
      </c>
      <c r="D38" s="52">
        <f t="shared" ca="1" si="0"/>
        <v>1534.5250000000001</v>
      </c>
      <c r="F38" s="49">
        <v>44</v>
      </c>
      <c r="G38" s="49">
        <f t="shared" si="2"/>
        <v>88</v>
      </c>
      <c r="H38" s="52">
        <f t="shared" si="3"/>
        <v>1342.85</v>
      </c>
      <c r="J38" s="49">
        <v>44</v>
      </c>
      <c r="K38" s="49">
        <f t="shared" si="4"/>
        <v>88</v>
      </c>
      <c r="L38" s="52">
        <f t="shared" si="5"/>
        <v>1369.1999999999998</v>
      </c>
      <c r="M38" s="52">
        <f t="shared" si="6"/>
        <v>770.8</v>
      </c>
      <c r="O38" s="43">
        <v>44</v>
      </c>
      <c r="P38" s="43">
        <f t="shared" si="7"/>
        <v>88</v>
      </c>
      <c r="Q38" s="54">
        <f t="shared" si="8"/>
        <v>985</v>
      </c>
    </row>
    <row r="39" spans="2:17" x14ac:dyDescent="0.3">
      <c r="B39" s="49">
        <v>45</v>
      </c>
      <c r="C39" s="49">
        <f t="shared" si="1"/>
        <v>90</v>
      </c>
      <c r="D39" s="52">
        <f t="shared" ca="1" si="0"/>
        <v>1578.1875</v>
      </c>
      <c r="F39" s="49">
        <v>45</v>
      </c>
      <c r="G39" s="49">
        <f t="shared" si="2"/>
        <v>90</v>
      </c>
      <c r="H39" s="52">
        <f t="shared" si="3"/>
        <v>1380.875</v>
      </c>
      <c r="J39" s="49">
        <v>45</v>
      </c>
      <c r="K39" s="49">
        <f t="shared" si="4"/>
        <v>90</v>
      </c>
      <c r="L39" s="52">
        <f t="shared" si="5"/>
        <v>1408</v>
      </c>
      <c r="M39" s="52">
        <f t="shared" si="6"/>
        <v>792</v>
      </c>
      <c r="O39" s="43">
        <v>45</v>
      </c>
      <c r="P39" s="43">
        <f t="shared" si="7"/>
        <v>90</v>
      </c>
      <c r="Q39" s="54">
        <f t="shared" si="8"/>
        <v>1012.5</v>
      </c>
    </row>
    <row r="40" spans="2:17" x14ac:dyDescent="0.3">
      <c r="B40" s="49">
        <v>46</v>
      </c>
      <c r="C40" s="49">
        <f t="shared" si="1"/>
        <v>92</v>
      </c>
      <c r="D40" s="52">
        <f t="shared" ca="1" si="0"/>
        <v>1621.85</v>
      </c>
      <c r="F40" s="49">
        <v>46</v>
      </c>
      <c r="G40" s="49">
        <f t="shared" si="2"/>
        <v>92</v>
      </c>
      <c r="H40" s="52">
        <f t="shared" si="3"/>
        <v>1418.9</v>
      </c>
      <c r="J40" s="49">
        <v>46</v>
      </c>
      <c r="K40" s="49">
        <f t="shared" si="4"/>
        <v>92</v>
      </c>
      <c r="L40" s="52">
        <f t="shared" si="5"/>
        <v>1446.8</v>
      </c>
      <c r="M40" s="52">
        <f t="shared" si="6"/>
        <v>813.19999999999993</v>
      </c>
      <c r="O40" s="43">
        <v>46</v>
      </c>
      <c r="P40" s="43">
        <f t="shared" si="7"/>
        <v>92</v>
      </c>
      <c r="Q40" s="54">
        <f t="shared" si="8"/>
        <v>1040</v>
      </c>
    </row>
    <row r="41" spans="2:17" x14ac:dyDescent="0.3">
      <c r="B41" s="49">
        <v>47</v>
      </c>
      <c r="C41" s="49">
        <f t="shared" si="1"/>
        <v>94</v>
      </c>
      <c r="D41" s="52">
        <f t="shared" ca="1" si="0"/>
        <v>1665.5125</v>
      </c>
      <c r="F41" s="49">
        <v>47</v>
      </c>
      <c r="G41" s="49">
        <f t="shared" si="2"/>
        <v>94</v>
      </c>
      <c r="H41" s="52">
        <f t="shared" si="3"/>
        <v>1456.925</v>
      </c>
      <c r="J41" s="49">
        <v>47</v>
      </c>
      <c r="K41" s="49">
        <f t="shared" si="4"/>
        <v>94</v>
      </c>
      <c r="L41" s="52">
        <f t="shared" si="5"/>
        <v>1485.6</v>
      </c>
      <c r="M41" s="52">
        <f t="shared" si="6"/>
        <v>834.4</v>
      </c>
      <c r="O41" s="43">
        <v>47</v>
      </c>
      <c r="P41" s="43">
        <f t="shared" si="7"/>
        <v>94</v>
      </c>
      <c r="Q41" s="54">
        <f t="shared" si="8"/>
        <v>1067.5</v>
      </c>
    </row>
    <row r="42" spans="2:17" x14ac:dyDescent="0.3">
      <c r="B42" s="49">
        <v>48</v>
      </c>
      <c r="C42" s="49">
        <f t="shared" si="1"/>
        <v>96</v>
      </c>
      <c r="D42" s="52">
        <f t="shared" ca="1" si="0"/>
        <v>1709.175</v>
      </c>
      <c r="F42" s="49">
        <v>48</v>
      </c>
      <c r="G42" s="49">
        <f t="shared" si="2"/>
        <v>96</v>
      </c>
      <c r="H42" s="52">
        <f t="shared" si="3"/>
        <v>1494.95</v>
      </c>
      <c r="J42" s="49">
        <v>48</v>
      </c>
      <c r="K42" s="49">
        <f t="shared" si="4"/>
        <v>96</v>
      </c>
      <c r="L42" s="52">
        <f t="shared" si="5"/>
        <v>1524.3999999999999</v>
      </c>
      <c r="M42" s="52">
        <f t="shared" si="6"/>
        <v>855.6</v>
      </c>
      <c r="O42" s="43">
        <v>48</v>
      </c>
      <c r="P42" s="43">
        <f t="shared" si="7"/>
        <v>96</v>
      </c>
      <c r="Q42" s="54">
        <f t="shared" si="8"/>
        <v>1095</v>
      </c>
    </row>
    <row r="43" spans="2:17" x14ac:dyDescent="0.3">
      <c r="B43" s="49">
        <v>49</v>
      </c>
      <c r="C43" s="49">
        <f t="shared" si="1"/>
        <v>98</v>
      </c>
      <c r="D43" s="52">
        <f t="shared" ca="1" si="0"/>
        <v>1752.8375000000001</v>
      </c>
      <c r="F43" s="49">
        <v>49</v>
      </c>
      <c r="G43" s="49">
        <f t="shared" si="2"/>
        <v>98</v>
      </c>
      <c r="H43" s="52">
        <f t="shared" si="3"/>
        <v>1532.9749999999999</v>
      </c>
      <c r="J43" s="49">
        <v>49</v>
      </c>
      <c r="K43" s="49">
        <f t="shared" si="4"/>
        <v>98</v>
      </c>
      <c r="L43" s="52">
        <f t="shared" si="5"/>
        <v>1563.1999999999998</v>
      </c>
      <c r="M43" s="52">
        <f t="shared" si="6"/>
        <v>876.8</v>
      </c>
      <c r="O43" s="43">
        <v>49</v>
      </c>
      <c r="P43" s="43">
        <f t="shared" si="7"/>
        <v>98</v>
      </c>
      <c r="Q43" s="54">
        <f t="shared" si="8"/>
        <v>1122.5</v>
      </c>
    </row>
    <row r="44" spans="2:17" x14ac:dyDescent="0.3">
      <c r="B44" s="49">
        <v>50</v>
      </c>
      <c r="C44" s="49">
        <f t="shared" si="1"/>
        <v>100</v>
      </c>
      <c r="D44" s="52">
        <f t="shared" ca="1" si="0"/>
        <v>1796.5</v>
      </c>
      <c r="F44" s="49">
        <v>50</v>
      </c>
      <c r="G44" s="49">
        <f t="shared" si="2"/>
        <v>100</v>
      </c>
      <c r="H44" s="52">
        <f t="shared" si="3"/>
        <v>1571</v>
      </c>
      <c r="J44" s="49">
        <v>50</v>
      </c>
      <c r="K44" s="49">
        <f t="shared" si="4"/>
        <v>100</v>
      </c>
      <c r="L44" s="52">
        <f t="shared" si="5"/>
        <v>1602</v>
      </c>
      <c r="M44" s="52">
        <f t="shared" si="6"/>
        <v>898</v>
      </c>
      <c r="O44" s="43">
        <v>50</v>
      </c>
      <c r="P44" s="43">
        <f t="shared" si="7"/>
        <v>100</v>
      </c>
      <c r="Q44" s="54">
        <f t="shared" si="8"/>
        <v>1150</v>
      </c>
    </row>
    <row r="45" spans="2:17" x14ac:dyDescent="0.3">
      <c r="B45" s="49">
        <v>51</v>
      </c>
      <c r="C45" s="49">
        <f t="shared" si="1"/>
        <v>102</v>
      </c>
      <c r="D45" s="52">
        <f t="shared" ca="1" si="0"/>
        <v>1840.1624999999999</v>
      </c>
      <c r="F45" s="49">
        <v>51</v>
      </c>
      <c r="G45" s="49">
        <f t="shared" si="2"/>
        <v>102</v>
      </c>
      <c r="H45" s="52">
        <f t="shared" si="3"/>
        <v>1609.0250000000001</v>
      </c>
      <c r="J45" s="49">
        <v>51</v>
      </c>
      <c r="K45" s="49">
        <f t="shared" si="4"/>
        <v>102</v>
      </c>
      <c r="L45" s="52">
        <f t="shared" si="5"/>
        <v>1640.8</v>
      </c>
      <c r="M45" s="52">
        <f t="shared" si="6"/>
        <v>919.19999999999993</v>
      </c>
      <c r="O45" s="43">
        <v>51</v>
      </c>
      <c r="P45" s="43">
        <f t="shared" si="7"/>
        <v>102</v>
      </c>
      <c r="Q45" s="54">
        <f t="shared" si="8"/>
        <v>1177.5</v>
      </c>
    </row>
    <row r="46" spans="2:17" x14ac:dyDescent="0.3">
      <c r="B46" s="49">
        <v>52</v>
      </c>
      <c r="C46" s="49">
        <f t="shared" si="1"/>
        <v>104</v>
      </c>
      <c r="D46" s="52">
        <f t="shared" ca="1" si="0"/>
        <v>1883.825</v>
      </c>
      <c r="F46" s="49">
        <v>52</v>
      </c>
      <c r="G46" s="49">
        <f t="shared" si="2"/>
        <v>104</v>
      </c>
      <c r="H46" s="52">
        <f t="shared" si="3"/>
        <v>1647.05</v>
      </c>
      <c r="J46" s="49">
        <v>52</v>
      </c>
      <c r="K46" s="49">
        <f t="shared" si="4"/>
        <v>104</v>
      </c>
      <c r="L46" s="52">
        <f t="shared" si="5"/>
        <v>1679.6</v>
      </c>
      <c r="M46" s="52">
        <f t="shared" si="6"/>
        <v>940.4</v>
      </c>
      <c r="O46" s="43">
        <v>52</v>
      </c>
      <c r="P46" s="43">
        <f t="shared" si="7"/>
        <v>104</v>
      </c>
      <c r="Q46" s="54">
        <f t="shared" si="8"/>
        <v>1205</v>
      </c>
    </row>
    <row r="47" spans="2:17" x14ac:dyDescent="0.3">
      <c r="B47" s="49">
        <v>53</v>
      </c>
      <c r="C47" s="49">
        <f t="shared" si="1"/>
        <v>106</v>
      </c>
      <c r="D47" s="52">
        <f t="shared" ca="1" si="0"/>
        <v>1927.4875</v>
      </c>
      <c r="F47" s="49">
        <v>53</v>
      </c>
      <c r="G47" s="49">
        <f t="shared" si="2"/>
        <v>106</v>
      </c>
      <c r="H47" s="52">
        <f t="shared" si="3"/>
        <v>1685.075</v>
      </c>
      <c r="J47" s="49">
        <v>53</v>
      </c>
      <c r="K47" s="49">
        <f t="shared" si="4"/>
        <v>106</v>
      </c>
      <c r="L47" s="52">
        <f t="shared" si="5"/>
        <v>1718.3999999999999</v>
      </c>
      <c r="M47" s="52">
        <f t="shared" si="6"/>
        <v>961.6</v>
      </c>
      <c r="O47" s="43">
        <v>53</v>
      </c>
      <c r="P47" s="43">
        <f t="shared" si="7"/>
        <v>106</v>
      </c>
      <c r="Q47" s="54">
        <f t="shared" si="8"/>
        <v>1232.5</v>
      </c>
    </row>
    <row r="48" spans="2:17" x14ac:dyDescent="0.3">
      <c r="B48" s="49">
        <v>54</v>
      </c>
      <c r="C48" s="49">
        <f t="shared" si="1"/>
        <v>108</v>
      </c>
      <c r="D48" s="52">
        <f t="shared" ca="1" si="0"/>
        <v>1971.15</v>
      </c>
      <c r="F48" s="49">
        <v>54</v>
      </c>
      <c r="G48" s="49">
        <f t="shared" si="2"/>
        <v>108</v>
      </c>
      <c r="H48" s="52">
        <f t="shared" si="3"/>
        <v>1723.1</v>
      </c>
      <c r="J48" s="49">
        <v>54</v>
      </c>
      <c r="K48" s="49">
        <f t="shared" si="4"/>
        <v>108</v>
      </c>
      <c r="L48" s="52">
        <f t="shared" si="5"/>
        <v>1757.1999999999998</v>
      </c>
      <c r="M48" s="52">
        <f t="shared" si="6"/>
        <v>982.8</v>
      </c>
      <c r="O48" s="43">
        <v>54</v>
      </c>
      <c r="P48" s="43">
        <f t="shared" si="7"/>
        <v>108</v>
      </c>
      <c r="Q48" s="54">
        <f t="shared" si="8"/>
        <v>1260</v>
      </c>
    </row>
    <row r="49" spans="2:17" x14ac:dyDescent="0.3">
      <c r="B49" s="49">
        <v>55</v>
      </c>
      <c r="C49" s="49">
        <f t="shared" si="1"/>
        <v>110</v>
      </c>
      <c r="D49" s="52">
        <f t="shared" ca="1" si="0"/>
        <v>2014.8125</v>
      </c>
      <c r="F49" s="49">
        <v>55</v>
      </c>
      <c r="G49" s="49">
        <f t="shared" si="2"/>
        <v>110</v>
      </c>
      <c r="H49" s="52">
        <f t="shared" si="3"/>
        <v>1761.125</v>
      </c>
      <c r="J49" s="49">
        <v>55</v>
      </c>
      <c r="K49" s="49">
        <f t="shared" si="4"/>
        <v>110</v>
      </c>
      <c r="L49" s="52">
        <f t="shared" si="5"/>
        <v>1795.9999999999998</v>
      </c>
      <c r="M49" s="52">
        <f t="shared" si="6"/>
        <v>1004</v>
      </c>
      <c r="O49" s="43">
        <v>55</v>
      </c>
      <c r="P49" s="43">
        <f t="shared" si="7"/>
        <v>110</v>
      </c>
      <c r="Q49" s="54">
        <f t="shared" si="8"/>
        <v>1287.5</v>
      </c>
    </row>
    <row r="50" spans="2:17" x14ac:dyDescent="0.3">
      <c r="B50" s="49">
        <v>56</v>
      </c>
      <c r="C50" s="49">
        <f t="shared" si="1"/>
        <v>112</v>
      </c>
      <c r="D50" s="52">
        <f t="shared" ca="1" si="0"/>
        <v>2058.4749999999999</v>
      </c>
      <c r="F50" s="49">
        <v>56</v>
      </c>
      <c r="G50" s="49">
        <f t="shared" si="2"/>
        <v>112</v>
      </c>
      <c r="H50" s="52">
        <f t="shared" si="3"/>
        <v>1799.15</v>
      </c>
      <c r="J50" s="49">
        <v>56</v>
      </c>
      <c r="K50" s="49">
        <f t="shared" si="4"/>
        <v>112</v>
      </c>
      <c r="L50" s="52">
        <f t="shared" si="5"/>
        <v>1834.8</v>
      </c>
      <c r="M50" s="52">
        <f t="shared" si="6"/>
        <v>1025.1999999999998</v>
      </c>
      <c r="O50" s="43">
        <v>56</v>
      </c>
      <c r="P50" s="43">
        <f t="shared" si="7"/>
        <v>112</v>
      </c>
      <c r="Q50" s="54">
        <f t="shared" si="8"/>
        <v>1315</v>
      </c>
    </row>
    <row r="51" spans="2:17" x14ac:dyDescent="0.3">
      <c r="B51" s="49">
        <v>57</v>
      </c>
      <c r="C51" s="49">
        <f t="shared" si="1"/>
        <v>114</v>
      </c>
      <c r="D51" s="52">
        <f t="shared" ca="1" si="0"/>
        <v>2102.1374999999998</v>
      </c>
      <c r="F51" s="49">
        <v>57</v>
      </c>
      <c r="G51" s="49">
        <f t="shared" si="2"/>
        <v>114</v>
      </c>
      <c r="H51" s="52">
        <f t="shared" si="3"/>
        <v>1837.175</v>
      </c>
      <c r="J51" s="49">
        <v>57</v>
      </c>
      <c r="K51" s="49">
        <f t="shared" si="4"/>
        <v>114</v>
      </c>
      <c r="L51" s="52">
        <f t="shared" si="5"/>
        <v>1873.6</v>
      </c>
      <c r="M51" s="52">
        <f t="shared" si="6"/>
        <v>1046.4000000000001</v>
      </c>
      <c r="O51" s="43">
        <v>57</v>
      </c>
      <c r="P51" s="43">
        <f t="shared" si="7"/>
        <v>114</v>
      </c>
      <c r="Q51" s="54">
        <f t="shared" si="8"/>
        <v>1342.5</v>
      </c>
    </row>
    <row r="52" spans="2:17" x14ac:dyDescent="0.3">
      <c r="B52" s="49">
        <v>58</v>
      </c>
      <c r="C52" s="49">
        <f t="shared" si="1"/>
        <v>116</v>
      </c>
      <c r="D52" s="52">
        <f t="shared" ca="1" si="0"/>
        <v>2145.8000000000002</v>
      </c>
      <c r="F52" s="49">
        <v>58</v>
      </c>
      <c r="G52" s="49">
        <f t="shared" si="2"/>
        <v>116</v>
      </c>
      <c r="H52" s="52">
        <f t="shared" si="3"/>
        <v>1875.2</v>
      </c>
      <c r="J52" s="49">
        <v>58</v>
      </c>
      <c r="K52" s="49">
        <f t="shared" si="4"/>
        <v>116</v>
      </c>
      <c r="L52" s="52">
        <f t="shared" si="5"/>
        <v>1912.3999999999999</v>
      </c>
      <c r="M52" s="52">
        <f t="shared" si="6"/>
        <v>1067.5999999999999</v>
      </c>
      <c r="O52" s="43">
        <v>58</v>
      </c>
      <c r="P52" s="43">
        <f t="shared" si="7"/>
        <v>116</v>
      </c>
      <c r="Q52" s="54">
        <f t="shared" si="8"/>
        <v>1370</v>
      </c>
    </row>
    <row r="53" spans="2:17" x14ac:dyDescent="0.3">
      <c r="B53" s="49">
        <v>59</v>
      </c>
      <c r="C53" s="49">
        <f t="shared" si="1"/>
        <v>118</v>
      </c>
      <c r="D53" s="52">
        <f t="shared" ca="1" si="0"/>
        <v>2189.4625000000001</v>
      </c>
      <c r="F53" s="49">
        <v>59</v>
      </c>
      <c r="G53" s="49">
        <f t="shared" si="2"/>
        <v>118</v>
      </c>
      <c r="H53" s="52">
        <f t="shared" si="3"/>
        <v>1913.2249999999999</v>
      </c>
      <c r="J53" s="49">
        <v>59</v>
      </c>
      <c r="K53" s="49">
        <f t="shared" si="4"/>
        <v>118</v>
      </c>
      <c r="L53" s="52">
        <f t="shared" si="5"/>
        <v>1951.1999999999998</v>
      </c>
      <c r="M53" s="52">
        <f t="shared" si="6"/>
        <v>1088.8</v>
      </c>
      <c r="O53" s="43">
        <v>59</v>
      </c>
      <c r="P53" s="43">
        <f t="shared" si="7"/>
        <v>118</v>
      </c>
      <c r="Q53" s="54">
        <f t="shared" si="8"/>
        <v>1397.5</v>
      </c>
    </row>
    <row r="54" spans="2:17" x14ac:dyDescent="0.3">
      <c r="B54" s="49">
        <v>60</v>
      </c>
      <c r="C54" s="49">
        <f t="shared" si="1"/>
        <v>120</v>
      </c>
      <c r="D54" s="52">
        <f t="shared" ca="1" si="0"/>
        <v>2233.125</v>
      </c>
      <c r="F54" s="49">
        <v>60</v>
      </c>
      <c r="G54" s="49">
        <f t="shared" si="2"/>
        <v>120</v>
      </c>
      <c r="H54" s="52">
        <f t="shared" si="3"/>
        <v>1951.25</v>
      </c>
      <c r="J54" s="49">
        <v>60</v>
      </c>
      <c r="K54" s="49">
        <f t="shared" si="4"/>
        <v>120</v>
      </c>
      <c r="L54" s="52">
        <f t="shared" si="5"/>
        <v>1989.9999999999998</v>
      </c>
      <c r="M54" s="52">
        <f t="shared" si="6"/>
        <v>1110</v>
      </c>
      <c r="O54" s="43">
        <v>60</v>
      </c>
      <c r="P54" s="43">
        <f t="shared" si="7"/>
        <v>120</v>
      </c>
      <c r="Q54" s="54">
        <f t="shared" si="8"/>
        <v>1425</v>
      </c>
    </row>
    <row r="55" spans="2:17" x14ac:dyDescent="0.3">
      <c r="B55" s="49">
        <v>61</v>
      </c>
      <c r="C55" s="49">
        <f t="shared" si="1"/>
        <v>122</v>
      </c>
      <c r="D55" s="52">
        <f t="shared" ca="1" si="0"/>
        <v>2276.7874999999999</v>
      </c>
      <c r="F55" s="49">
        <v>61</v>
      </c>
      <c r="G55" s="49">
        <f t="shared" si="2"/>
        <v>122</v>
      </c>
      <c r="H55" s="52">
        <f t="shared" si="3"/>
        <v>1989.2750000000001</v>
      </c>
      <c r="J55" s="49">
        <v>61</v>
      </c>
      <c r="K55" s="49">
        <f t="shared" si="4"/>
        <v>122</v>
      </c>
      <c r="L55" s="52">
        <f t="shared" si="5"/>
        <v>2028.8</v>
      </c>
      <c r="M55" s="52">
        <f t="shared" si="6"/>
        <v>1131.2</v>
      </c>
      <c r="O55" s="43">
        <v>61</v>
      </c>
      <c r="P55" s="43">
        <f t="shared" si="7"/>
        <v>122</v>
      </c>
      <c r="Q55" s="54">
        <f t="shared" si="8"/>
        <v>1452.5</v>
      </c>
    </row>
    <row r="56" spans="2:17" x14ac:dyDescent="0.3">
      <c r="B56" s="49">
        <v>62</v>
      </c>
      <c r="C56" s="49">
        <f t="shared" si="1"/>
        <v>124</v>
      </c>
      <c r="D56" s="52">
        <f t="shared" ca="1" si="0"/>
        <v>2320.4499999999998</v>
      </c>
      <c r="F56" s="49">
        <v>62</v>
      </c>
      <c r="G56" s="49">
        <f t="shared" si="2"/>
        <v>124</v>
      </c>
      <c r="H56" s="52">
        <f t="shared" si="3"/>
        <v>2027.3</v>
      </c>
      <c r="J56" s="49">
        <v>62</v>
      </c>
      <c r="K56" s="49">
        <f t="shared" si="4"/>
        <v>124</v>
      </c>
      <c r="L56" s="52">
        <f t="shared" si="5"/>
        <v>2067.6</v>
      </c>
      <c r="M56" s="52">
        <f t="shared" si="6"/>
        <v>1152.3999999999999</v>
      </c>
      <c r="O56" s="43">
        <v>62</v>
      </c>
      <c r="P56" s="43">
        <f t="shared" si="7"/>
        <v>124</v>
      </c>
      <c r="Q56" s="54">
        <f t="shared" si="8"/>
        <v>1480</v>
      </c>
    </row>
    <row r="57" spans="2:17" x14ac:dyDescent="0.3">
      <c r="B57" s="49">
        <v>63</v>
      </c>
      <c r="C57" s="49">
        <f t="shared" si="1"/>
        <v>126</v>
      </c>
      <c r="D57" s="52">
        <f t="shared" ca="1" si="0"/>
        <v>2364.1125000000002</v>
      </c>
      <c r="F57" s="49">
        <v>63</v>
      </c>
      <c r="G57" s="49">
        <f t="shared" si="2"/>
        <v>126</v>
      </c>
      <c r="H57" s="52">
        <f t="shared" si="3"/>
        <v>2065.3249999999998</v>
      </c>
      <c r="J57" s="49">
        <v>63</v>
      </c>
      <c r="K57" s="49">
        <f t="shared" si="4"/>
        <v>126</v>
      </c>
      <c r="L57" s="52">
        <f t="shared" si="5"/>
        <v>2106.3999999999996</v>
      </c>
      <c r="M57" s="52">
        <f t="shared" si="6"/>
        <v>1173.5999999999999</v>
      </c>
      <c r="O57" s="43">
        <v>63</v>
      </c>
      <c r="P57" s="43">
        <f t="shared" si="7"/>
        <v>126</v>
      </c>
      <c r="Q57" s="54">
        <f t="shared" si="8"/>
        <v>1507.5</v>
      </c>
    </row>
    <row r="58" spans="2:17" x14ac:dyDescent="0.3">
      <c r="B58" s="49">
        <v>64</v>
      </c>
      <c r="C58" s="49">
        <f t="shared" si="1"/>
        <v>128</v>
      </c>
      <c r="D58" s="52">
        <f t="shared" ca="1" si="0"/>
        <v>2407.7750000000001</v>
      </c>
      <c r="F58" s="49">
        <v>64</v>
      </c>
      <c r="G58" s="49">
        <f t="shared" si="2"/>
        <v>128</v>
      </c>
      <c r="H58" s="52">
        <f t="shared" si="3"/>
        <v>2103.35</v>
      </c>
      <c r="J58" s="49">
        <v>64</v>
      </c>
      <c r="K58" s="49">
        <f t="shared" si="4"/>
        <v>128</v>
      </c>
      <c r="L58" s="52">
        <f t="shared" si="5"/>
        <v>2145.1999999999998</v>
      </c>
      <c r="M58" s="52">
        <f>(K58-20)*10.6+50</f>
        <v>1194.8</v>
      </c>
      <c r="O58" s="43">
        <v>64</v>
      </c>
      <c r="P58" s="43">
        <f t="shared" si="7"/>
        <v>128</v>
      </c>
      <c r="Q58" s="54">
        <f t="shared" si="8"/>
        <v>1535</v>
      </c>
    </row>
    <row r="59" spans="2:17" x14ac:dyDescent="0.3">
      <c r="B59" s="49">
        <v>65</v>
      </c>
      <c r="C59" s="49">
        <f t="shared" si="1"/>
        <v>130</v>
      </c>
      <c r="D59" s="52">
        <f t="shared" ca="1" si="0"/>
        <v>2451.4375</v>
      </c>
      <c r="F59" s="49">
        <v>65</v>
      </c>
      <c r="G59" s="49">
        <f t="shared" si="2"/>
        <v>130</v>
      </c>
      <c r="H59" s="52">
        <f t="shared" si="3"/>
        <v>2141.375</v>
      </c>
      <c r="J59" s="49">
        <v>65</v>
      </c>
      <c r="K59" s="49">
        <f t="shared" si="4"/>
        <v>130</v>
      </c>
      <c r="L59" s="52">
        <f t="shared" si="5"/>
        <v>2184</v>
      </c>
      <c r="M59" s="52">
        <f t="shared" si="6"/>
        <v>1216</v>
      </c>
      <c r="O59" s="43">
        <v>65</v>
      </c>
      <c r="P59" s="43">
        <f t="shared" si="7"/>
        <v>130</v>
      </c>
      <c r="Q59" s="54">
        <f t="shared" si="8"/>
        <v>1562.5</v>
      </c>
    </row>
    <row r="60" spans="2:17" x14ac:dyDescent="0.3">
      <c r="B60" s="49">
        <v>66</v>
      </c>
      <c r="C60" s="49">
        <f t="shared" si="1"/>
        <v>132</v>
      </c>
      <c r="D60" s="52">
        <f t="shared" ca="1" si="0"/>
        <v>2495.1</v>
      </c>
      <c r="F60" s="49">
        <v>66</v>
      </c>
      <c r="G60" s="49">
        <f t="shared" si="2"/>
        <v>132</v>
      </c>
      <c r="H60" s="52">
        <f t="shared" si="3"/>
        <v>2179.4</v>
      </c>
      <c r="J60" s="49">
        <v>66</v>
      </c>
      <c r="K60" s="49">
        <f t="shared" si="4"/>
        <v>132</v>
      </c>
      <c r="L60" s="52">
        <f t="shared" si="5"/>
        <v>2222.7999999999997</v>
      </c>
      <c r="M60" s="52">
        <f t="shared" si="6"/>
        <v>1237.2</v>
      </c>
      <c r="O60" s="43">
        <v>66</v>
      </c>
      <c r="P60" s="43">
        <f t="shared" si="7"/>
        <v>132</v>
      </c>
      <c r="Q60" s="54">
        <f t="shared" si="8"/>
        <v>1590</v>
      </c>
    </row>
    <row r="61" spans="2:17" x14ac:dyDescent="0.3">
      <c r="B61" s="49">
        <v>67</v>
      </c>
      <c r="C61" s="49">
        <f t="shared" si="1"/>
        <v>134</v>
      </c>
      <c r="D61" s="52">
        <f t="shared" ca="1" si="0"/>
        <v>2538.7624999999998</v>
      </c>
      <c r="F61" s="49">
        <v>67</v>
      </c>
      <c r="G61" s="49">
        <f t="shared" si="2"/>
        <v>134</v>
      </c>
      <c r="H61" s="52">
        <f t="shared" si="3"/>
        <v>2217.4250000000002</v>
      </c>
      <c r="J61" s="49">
        <v>67</v>
      </c>
      <c r="K61" s="49">
        <f t="shared" si="4"/>
        <v>134</v>
      </c>
      <c r="L61" s="52">
        <f t="shared" si="5"/>
        <v>2261.6</v>
      </c>
      <c r="M61" s="52">
        <f t="shared" si="6"/>
        <v>1258.3999999999999</v>
      </c>
      <c r="O61" s="43">
        <v>67</v>
      </c>
      <c r="P61" s="43">
        <f t="shared" si="7"/>
        <v>134</v>
      </c>
      <c r="Q61" s="54">
        <f t="shared" si="8"/>
        <v>1617.5</v>
      </c>
    </row>
    <row r="62" spans="2:17" x14ac:dyDescent="0.3">
      <c r="B62" s="49">
        <v>68</v>
      </c>
      <c r="C62" s="49">
        <f t="shared" si="1"/>
        <v>136</v>
      </c>
      <c r="D62" s="52">
        <f t="shared" ca="1" si="0"/>
        <v>2582.4250000000002</v>
      </c>
      <c r="F62" s="49">
        <v>68</v>
      </c>
      <c r="G62" s="49">
        <f t="shared" si="2"/>
        <v>136</v>
      </c>
      <c r="H62" s="52">
        <f t="shared" si="3"/>
        <v>2255.4499999999998</v>
      </c>
      <c r="J62" s="49">
        <v>68</v>
      </c>
      <c r="K62" s="49">
        <f t="shared" si="4"/>
        <v>136</v>
      </c>
      <c r="L62" s="52">
        <f t="shared" si="5"/>
        <v>2300.3999999999996</v>
      </c>
      <c r="M62" s="52">
        <f t="shared" si="6"/>
        <v>1279.5999999999999</v>
      </c>
      <c r="O62" s="43">
        <v>68</v>
      </c>
      <c r="P62" s="43">
        <f t="shared" si="7"/>
        <v>136</v>
      </c>
      <c r="Q62" s="54">
        <f t="shared" si="8"/>
        <v>1645</v>
      </c>
    </row>
    <row r="63" spans="2:17" x14ac:dyDescent="0.3">
      <c r="B63" s="49">
        <v>69</v>
      </c>
      <c r="C63" s="49">
        <f t="shared" si="1"/>
        <v>138</v>
      </c>
      <c r="D63" s="52">
        <f t="shared" ca="1" si="0"/>
        <v>2626.0875000000001</v>
      </c>
      <c r="F63" s="49">
        <v>69</v>
      </c>
      <c r="G63" s="49">
        <f t="shared" si="2"/>
        <v>138</v>
      </c>
      <c r="H63" s="52">
        <f t="shared" si="3"/>
        <v>2293.4749999999999</v>
      </c>
      <c r="J63" s="49">
        <v>69</v>
      </c>
      <c r="K63" s="49">
        <f t="shared" si="4"/>
        <v>138</v>
      </c>
      <c r="L63" s="52">
        <f t="shared" si="5"/>
        <v>2339.1999999999998</v>
      </c>
      <c r="M63" s="52">
        <f t="shared" si="6"/>
        <v>1300.8</v>
      </c>
      <c r="O63" s="43">
        <v>69</v>
      </c>
      <c r="P63" s="43">
        <f t="shared" si="7"/>
        <v>138</v>
      </c>
      <c r="Q63" s="54">
        <f t="shared" si="8"/>
        <v>1672.5</v>
      </c>
    </row>
    <row r="64" spans="2:17" x14ac:dyDescent="0.3">
      <c r="B64" s="49">
        <v>70</v>
      </c>
      <c r="C64" s="49">
        <f t="shared" si="1"/>
        <v>140</v>
      </c>
      <c r="D64" s="52">
        <f t="shared" ca="1" si="0"/>
        <v>2669.75</v>
      </c>
      <c r="F64" s="49">
        <v>70</v>
      </c>
      <c r="G64" s="49">
        <f t="shared" si="2"/>
        <v>140</v>
      </c>
      <c r="H64" s="52">
        <f t="shared" si="3"/>
        <v>2331.5</v>
      </c>
      <c r="J64" s="49">
        <v>70</v>
      </c>
      <c r="K64" s="49">
        <f t="shared" si="4"/>
        <v>140</v>
      </c>
      <c r="L64" s="52">
        <f t="shared" si="5"/>
        <v>2378</v>
      </c>
      <c r="M64" s="52">
        <f t="shared" si="6"/>
        <v>1322</v>
      </c>
      <c r="O64" s="43">
        <v>70</v>
      </c>
      <c r="P64" s="43">
        <f t="shared" si="7"/>
        <v>140</v>
      </c>
      <c r="Q64" s="54">
        <f t="shared" si="8"/>
        <v>1700</v>
      </c>
    </row>
    <row r="65" spans="2:17" x14ac:dyDescent="0.3">
      <c r="B65" s="49">
        <v>71</v>
      </c>
      <c r="C65" s="49">
        <f t="shared" si="1"/>
        <v>142</v>
      </c>
      <c r="D65" s="52">
        <f t="shared" ca="1" si="0"/>
        <v>2713.4124999999999</v>
      </c>
      <c r="F65" s="49">
        <v>71</v>
      </c>
      <c r="G65" s="49">
        <f t="shared" si="2"/>
        <v>142</v>
      </c>
      <c r="H65" s="52">
        <f t="shared" si="3"/>
        <v>2369.5250000000001</v>
      </c>
      <c r="J65" s="49">
        <v>71</v>
      </c>
      <c r="K65" s="49">
        <f t="shared" si="4"/>
        <v>142</v>
      </c>
      <c r="L65" s="52">
        <f t="shared" si="5"/>
        <v>2416.7999999999997</v>
      </c>
      <c r="M65" s="52">
        <f t="shared" si="6"/>
        <v>1343.2</v>
      </c>
      <c r="O65" s="43">
        <v>71</v>
      </c>
      <c r="P65" s="43">
        <f t="shared" si="7"/>
        <v>142</v>
      </c>
      <c r="Q65" s="54">
        <f t="shared" si="8"/>
        <v>1727.5</v>
      </c>
    </row>
    <row r="66" spans="2:17" x14ac:dyDescent="0.3">
      <c r="B66" s="49">
        <v>72</v>
      </c>
      <c r="C66" s="49">
        <f t="shared" si="1"/>
        <v>144</v>
      </c>
      <c r="D66" s="52">
        <f t="shared" ca="1" si="0"/>
        <v>2757.0749999999998</v>
      </c>
      <c r="F66" s="49">
        <v>72</v>
      </c>
      <c r="G66" s="49">
        <f t="shared" si="2"/>
        <v>144</v>
      </c>
      <c r="H66" s="52">
        <f t="shared" si="3"/>
        <v>2407.5500000000002</v>
      </c>
      <c r="J66" s="49">
        <v>72</v>
      </c>
      <c r="K66" s="49">
        <f t="shared" si="4"/>
        <v>144</v>
      </c>
      <c r="L66" s="52">
        <f t="shared" si="5"/>
        <v>2455.6</v>
      </c>
      <c r="M66" s="52">
        <f t="shared" si="6"/>
        <v>1364.3999999999999</v>
      </c>
      <c r="O66" s="43">
        <v>72</v>
      </c>
      <c r="P66" s="43">
        <f t="shared" si="7"/>
        <v>144</v>
      </c>
      <c r="Q66" s="54">
        <f t="shared" si="8"/>
        <v>1755</v>
      </c>
    </row>
    <row r="67" spans="2:17" x14ac:dyDescent="0.3">
      <c r="B67" s="49">
        <v>73</v>
      </c>
      <c r="C67" s="49">
        <f t="shared" si="1"/>
        <v>146</v>
      </c>
      <c r="D67" s="52">
        <f t="shared" ca="1" si="0"/>
        <v>2800.7375000000002</v>
      </c>
      <c r="F67" s="49">
        <v>73</v>
      </c>
      <c r="G67" s="49">
        <f t="shared" si="2"/>
        <v>146</v>
      </c>
      <c r="H67" s="52">
        <f t="shared" si="3"/>
        <v>2445.5749999999998</v>
      </c>
      <c r="J67" s="49">
        <v>73</v>
      </c>
      <c r="K67" s="49">
        <f t="shared" si="4"/>
        <v>146</v>
      </c>
      <c r="L67" s="52">
        <f t="shared" si="5"/>
        <v>2494.3999999999996</v>
      </c>
      <c r="M67" s="52">
        <f t="shared" si="6"/>
        <v>1385.6</v>
      </c>
      <c r="O67" s="43">
        <v>73</v>
      </c>
      <c r="P67" s="43">
        <f t="shared" si="7"/>
        <v>146</v>
      </c>
      <c r="Q67" s="54">
        <f t="shared" si="8"/>
        <v>1782.5</v>
      </c>
    </row>
    <row r="68" spans="2:17" x14ac:dyDescent="0.3">
      <c r="B68" s="49">
        <v>74</v>
      </c>
      <c r="C68" s="49">
        <f t="shared" si="1"/>
        <v>148</v>
      </c>
      <c r="D68" s="52">
        <f t="shared" ref="D68:D83" ca="1" si="9">($D$4*($C68-20)/160)+50</f>
        <v>2844.4</v>
      </c>
      <c r="F68" s="49">
        <v>74</v>
      </c>
      <c r="G68" s="49">
        <f t="shared" si="2"/>
        <v>148</v>
      </c>
      <c r="H68" s="52">
        <f t="shared" si="3"/>
        <v>2483.6</v>
      </c>
      <c r="J68" s="49">
        <v>74</v>
      </c>
      <c r="K68" s="49">
        <f t="shared" si="4"/>
        <v>148</v>
      </c>
      <c r="L68" s="52">
        <f t="shared" si="5"/>
        <v>2533.1999999999998</v>
      </c>
      <c r="M68" s="52">
        <f t="shared" si="6"/>
        <v>1406.8</v>
      </c>
      <c r="O68" s="43">
        <v>74</v>
      </c>
      <c r="P68" s="43">
        <f t="shared" si="7"/>
        <v>148</v>
      </c>
      <c r="Q68" s="54">
        <f t="shared" si="8"/>
        <v>1810</v>
      </c>
    </row>
    <row r="69" spans="2:17" x14ac:dyDescent="0.3">
      <c r="B69" s="49">
        <v>75</v>
      </c>
      <c r="C69" s="49">
        <f t="shared" ref="C69:C90" si="10">(B69*2)</f>
        <v>150</v>
      </c>
      <c r="D69" s="52">
        <f t="shared" ca="1" si="9"/>
        <v>2888.0625</v>
      </c>
      <c r="F69" s="49">
        <v>75</v>
      </c>
      <c r="G69" s="49">
        <f t="shared" ref="G69:G90" si="11">(F69*2)</f>
        <v>150</v>
      </c>
      <c r="H69" s="52">
        <f t="shared" ref="H69:H84" si="12">($H$3*($G69-20)/160)+50</f>
        <v>2521.625</v>
      </c>
      <c r="J69" s="49">
        <v>75</v>
      </c>
      <c r="K69" s="49">
        <f t="shared" ref="K69:K89" si="13">(J69*2)</f>
        <v>150</v>
      </c>
      <c r="L69" s="52">
        <f t="shared" ref="L69:L84" si="14">(K69-20)*19.4+50</f>
        <v>2572</v>
      </c>
      <c r="M69" s="52">
        <f t="shared" ref="M69:M84" si="15">(K69-20)*10.6+50</f>
        <v>1428</v>
      </c>
      <c r="O69" s="43">
        <v>75</v>
      </c>
      <c r="P69" s="43">
        <f t="shared" ref="P69:P89" si="16">(O69*2)</f>
        <v>150</v>
      </c>
      <c r="Q69" s="54">
        <f t="shared" si="8"/>
        <v>1837.5</v>
      </c>
    </row>
    <row r="70" spans="2:17" x14ac:dyDescent="0.3">
      <c r="B70" s="49">
        <v>76</v>
      </c>
      <c r="C70" s="49">
        <f t="shared" si="10"/>
        <v>152</v>
      </c>
      <c r="D70" s="52">
        <f t="shared" ca="1" si="9"/>
        <v>2931.7249999999999</v>
      </c>
      <c r="F70" s="49">
        <v>76</v>
      </c>
      <c r="G70" s="49">
        <f t="shared" si="11"/>
        <v>152</v>
      </c>
      <c r="H70" s="52">
        <f t="shared" si="12"/>
        <v>2559.65</v>
      </c>
      <c r="J70" s="49">
        <v>76</v>
      </c>
      <c r="K70" s="49">
        <f t="shared" si="13"/>
        <v>152</v>
      </c>
      <c r="L70" s="52">
        <f t="shared" si="14"/>
        <v>2610.7999999999997</v>
      </c>
      <c r="M70" s="52">
        <f t="shared" si="15"/>
        <v>1449.2</v>
      </c>
      <c r="O70" s="43">
        <v>76</v>
      </c>
      <c r="P70" s="43">
        <f t="shared" si="16"/>
        <v>152</v>
      </c>
      <c r="Q70" s="54">
        <f t="shared" ref="Q70:Q89" si="17">(2200*(P70-20)/160)+50</f>
        <v>1865</v>
      </c>
    </row>
    <row r="71" spans="2:17" x14ac:dyDescent="0.3">
      <c r="B71" s="49">
        <v>77</v>
      </c>
      <c r="C71" s="49">
        <f t="shared" si="10"/>
        <v>154</v>
      </c>
      <c r="D71" s="52">
        <f t="shared" ca="1" si="9"/>
        <v>2975.3874999999998</v>
      </c>
      <c r="F71" s="49">
        <v>77</v>
      </c>
      <c r="G71" s="49">
        <f t="shared" si="11"/>
        <v>154</v>
      </c>
      <c r="H71" s="52">
        <f t="shared" si="12"/>
        <v>2597.6750000000002</v>
      </c>
      <c r="J71" s="49">
        <v>77</v>
      </c>
      <c r="K71" s="49">
        <f t="shared" si="13"/>
        <v>154</v>
      </c>
      <c r="L71" s="52">
        <f t="shared" si="14"/>
        <v>2649.6</v>
      </c>
      <c r="M71" s="52">
        <f t="shared" si="15"/>
        <v>1470.3999999999999</v>
      </c>
      <c r="O71" s="43">
        <v>77</v>
      </c>
      <c r="P71" s="43">
        <f t="shared" si="16"/>
        <v>154</v>
      </c>
      <c r="Q71" s="54">
        <f t="shared" si="17"/>
        <v>1892.5</v>
      </c>
    </row>
    <row r="72" spans="2:17" x14ac:dyDescent="0.3">
      <c r="B72" s="49">
        <v>78</v>
      </c>
      <c r="C72" s="49">
        <f t="shared" si="10"/>
        <v>156</v>
      </c>
      <c r="D72" s="52">
        <f t="shared" ca="1" si="9"/>
        <v>3019.05</v>
      </c>
      <c r="F72" s="49">
        <v>78</v>
      </c>
      <c r="G72" s="49">
        <f t="shared" si="11"/>
        <v>156</v>
      </c>
      <c r="H72" s="52">
        <f t="shared" si="12"/>
        <v>2635.7</v>
      </c>
      <c r="J72" s="49">
        <v>78</v>
      </c>
      <c r="K72" s="49">
        <f t="shared" si="13"/>
        <v>156</v>
      </c>
      <c r="L72" s="52">
        <f t="shared" si="14"/>
        <v>2688.3999999999996</v>
      </c>
      <c r="M72" s="52">
        <f t="shared" si="15"/>
        <v>1491.6</v>
      </c>
      <c r="O72" s="43">
        <v>78</v>
      </c>
      <c r="P72" s="43">
        <f t="shared" si="16"/>
        <v>156</v>
      </c>
      <c r="Q72" s="54">
        <f t="shared" si="17"/>
        <v>1920</v>
      </c>
    </row>
    <row r="73" spans="2:17" x14ac:dyDescent="0.3">
      <c r="B73" s="49">
        <v>79</v>
      </c>
      <c r="C73" s="49">
        <f t="shared" si="10"/>
        <v>158</v>
      </c>
      <c r="D73" s="52">
        <f t="shared" ca="1" si="9"/>
        <v>3062.7125000000001</v>
      </c>
      <c r="F73" s="49">
        <v>79</v>
      </c>
      <c r="G73" s="49">
        <f t="shared" si="11"/>
        <v>158</v>
      </c>
      <c r="H73" s="52">
        <f t="shared" si="12"/>
        <v>2673.7249999999999</v>
      </c>
      <c r="J73" s="49">
        <v>79</v>
      </c>
      <c r="K73" s="49">
        <f t="shared" si="13"/>
        <v>158</v>
      </c>
      <c r="L73" s="52">
        <f t="shared" si="14"/>
        <v>2727.2</v>
      </c>
      <c r="M73" s="52">
        <f t="shared" si="15"/>
        <v>1512.8</v>
      </c>
      <c r="O73" s="43">
        <v>79</v>
      </c>
      <c r="P73" s="43">
        <f t="shared" si="16"/>
        <v>158</v>
      </c>
      <c r="Q73" s="54">
        <f t="shared" si="17"/>
        <v>1947.5</v>
      </c>
    </row>
    <row r="74" spans="2:17" x14ac:dyDescent="0.3">
      <c r="B74" s="49">
        <v>80</v>
      </c>
      <c r="C74" s="49">
        <f t="shared" si="10"/>
        <v>160</v>
      </c>
      <c r="D74" s="52">
        <f t="shared" ca="1" si="9"/>
        <v>3106.375</v>
      </c>
      <c r="F74" s="49">
        <v>80</v>
      </c>
      <c r="G74" s="49">
        <f t="shared" si="11"/>
        <v>160</v>
      </c>
      <c r="H74" s="52">
        <f t="shared" si="12"/>
        <v>2711.75</v>
      </c>
      <c r="J74" s="49">
        <v>80</v>
      </c>
      <c r="K74" s="49">
        <f t="shared" si="13"/>
        <v>160</v>
      </c>
      <c r="L74" s="52">
        <f t="shared" si="14"/>
        <v>2766</v>
      </c>
      <c r="M74" s="52">
        <f t="shared" si="15"/>
        <v>1534</v>
      </c>
      <c r="O74" s="43">
        <v>80</v>
      </c>
      <c r="P74" s="43">
        <f t="shared" si="16"/>
        <v>160</v>
      </c>
      <c r="Q74" s="54">
        <f t="shared" si="17"/>
        <v>1975</v>
      </c>
    </row>
    <row r="75" spans="2:17" x14ac:dyDescent="0.3">
      <c r="B75" s="53">
        <v>81</v>
      </c>
      <c r="C75" s="53">
        <f t="shared" si="10"/>
        <v>162</v>
      </c>
      <c r="D75" s="52">
        <f t="shared" ca="1" si="9"/>
        <v>3150.0374999999999</v>
      </c>
      <c r="F75" s="53">
        <v>81</v>
      </c>
      <c r="G75" s="53">
        <f t="shared" si="11"/>
        <v>162</v>
      </c>
      <c r="H75" s="52">
        <f t="shared" si="12"/>
        <v>2749.7750000000001</v>
      </c>
      <c r="J75" s="53">
        <v>81</v>
      </c>
      <c r="K75" s="53">
        <f t="shared" si="13"/>
        <v>162</v>
      </c>
      <c r="L75" s="52">
        <f t="shared" si="14"/>
        <v>2804.7999999999997</v>
      </c>
      <c r="M75" s="52">
        <f t="shared" si="15"/>
        <v>1555.2</v>
      </c>
      <c r="O75" s="44">
        <v>81</v>
      </c>
      <c r="P75" s="44">
        <f t="shared" si="16"/>
        <v>162</v>
      </c>
      <c r="Q75" s="45">
        <f t="shared" si="17"/>
        <v>2002.5</v>
      </c>
    </row>
    <row r="76" spans="2:17" x14ac:dyDescent="0.3">
      <c r="B76" s="49">
        <v>82</v>
      </c>
      <c r="C76" s="49">
        <f t="shared" si="10"/>
        <v>164</v>
      </c>
      <c r="D76" s="52">
        <f t="shared" ca="1" si="9"/>
        <v>3193.7</v>
      </c>
      <c r="F76" s="49">
        <v>82</v>
      </c>
      <c r="G76" s="49">
        <f t="shared" si="11"/>
        <v>164</v>
      </c>
      <c r="H76" s="52">
        <f t="shared" si="12"/>
        <v>2787.8</v>
      </c>
      <c r="J76" s="49">
        <v>82</v>
      </c>
      <c r="K76" s="49">
        <f t="shared" si="13"/>
        <v>164</v>
      </c>
      <c r="L76" s="52">
        <f t="shared" si="14"/>
        <v>2843.6</v>
      </c>
      <c r="M76" s="52">
        <f t="shared" si="15"/>
        <v>1576.3999999999999</v>
      </c>
      <c r="O76" s="43">
        <v>82</v>
      </c>
      <c r="P76" s="43">
        <f t="shared" si="16"/>
        <v>164</v>
      </c>
      <c r="Q76" s="54">
        <f t="shared" si="17"/>
        <v>2030</v>
      </c>
    </row>
    <row r="77" spans="2:17" x14ac:dyDescent="0.3">
      <c r="B77" s="49">
        <v>83</v>
      </c>
      <c r="C77" s="49">
        <f t="shared" si="10"/>
        <v>166</v>
      </c>
      <c r="D77" s="52">
        <f t="shared" ca="1" si="9"/>
        <v>3237.3625000000002</v>
      </c>
      <c r="F77" s="49">
        <v>83</v>
      </c>
      <c r="G77" s="49">
        <f t="shared" si="11"/>
        <v>166</v>
      </c>
      <c r="H77" s="52">
        <f t="shared" si="12"/>
        <v>2825.8249999999998</v>
      </c>
      <c r="J77" s="49">
        <v>83</v>
      </c>
      <c r="K77" s="49">
        <f t="shared" si="13"/>
        <v>166</v>
      </c>
      <c r="L77" s="52">
        <f t="shared" si="14"/>
        <v>2882.3999999999996</v>
      </c>
      <c r="M77" s="52">
        <f t="shared" si="15"/>
        <v>1597.6</v>
      </c>
      <c r="O77" s="43">
        <v>83</v>
      </c>
      <c r="P77" s="43">
        <f t="shared" si="16"/>
        <v>166</v>
      </c>
      <c r="Q77" s="54">
        <f t="shared" si="17"/>
        <v>2057.5</v>
      </c>
    </row>
    <row r="78" spans="2:17" x14ac:dyDescent="0.3">
      <c r="B78" s="49">
        <v>84</v>
      </c>
      <c r="C78" s="49">
        <f t="shared" si="10"/>
        <v>168</v>
      </c>
      <c r="D78" s="52">
        <f t="shared" ca="1" si="9"/>
        <v>3281.0250000000001</v>
      </c>
      <c r="F78" s="49">
        <v>84</v>
      </c>
      <c r="G78" s="49">
        <f t="shared" si="11"/>
        <v>168</v>
      </c>
      <c r="H78" s="52">
        <f t="shared" si="12"/>
        <v>2863.85</v>
      </c>
      <c r="J78" s="49">
        <v>84</v>
      </c>
      <c r="K78" s="49">
        <f t="shared" si="13"/>
        <v>168</v>
      </c>
      <c r="L78" s="52">
        <f t="shared" si="14"/>
        <v>2921.2</v>
      </c>
      <c r="M78" s="52">
        <f t="shared" si="15"/>
        <v>1618.8</v>
      </c>
      <c r="O78" s="43">
        <v>84</v>
      </c>
      <c r="P78" s="43">
        <f t="shared" si="16"/>
        <v>168</v>
      </c>
      <c r="Q78" s="54">
        <f t="shared" si="17"/>
        <v>2085</v>
      </c>
    </row>
    <row r="79" spans="2:17" x14ac:dyDescent="0.3">
      <c r="B79" s="49">
        <v>85</v>
      </c>
      <c r="C79" s="49">
        <f t="shared" si="10"/>
        <v>170</v>
      </c>
      <c r="D79" s="52">
        <f t="shared" ca="1" si="9"/>
        <v>3324.6875</v>
      </c>
      <c r="F79" s="49">
        <v>85</v>
      </c>
      <c r="G79" s="49">
        <f t="shared" si="11"/>
        <v>170</v>
      </c>
      <c r="H79" s="52">
        <f t="shared" si="12"/>
        <v>2901.875</v>
      </c>
      <c r="J79" s="49">
        <v>85</v>
      </c>
      <c r="K79" s="49">
        <f t="shared" si="13"/>
        <v>170</v>
      </c>
      <c r="L79" s="52">
        <f t="shared" si="14"/>
        <v>2960</v>
      </c>
      <c r="M79" s="52">
        <f t="shared" si="15"/>
        <v>1640</v>
      </c>
      <c r="O79" s="43">
        <v>85</v>
      </c>
      <c r="P79" s="43">
        <f t="shared" si="16"/>
        <v>170</v>
      </c>
      <c r="Q79" s="54">
        <f t="shared" si="17"/>
        <v>2112.5</v>
      </c>
    </row>
    <row r="80" spans="2:17" x14ac:dyDescent="0.3">
      <c r="B80" s="49">
        <v>86</v>
      </c>
      <c r="C80" s="49">
        <f t="shared" si="10"/>
        <v>172</v>
      </c>
      <c r="D80" s="52">
        <f t="shared" ca="1" si="9"/>
        <v>3368.35</v>
      </c>
      <c r="F80" s="49">
        <v>86</v>
      </c>
      <c r="G80" s="49">
        <f t="shared" si="11"/>
        <v>172</v>
      </c>
      <c r="H80" s="52">
        <f t="shared" si="12"/>
        <v>2939.9</v>
      </c>
      <c r="J80" s="49">
        <v>86</v>
      </c>
      <c r="K80" s="49">
        <f t="shared" si="13"/>
        <v>172</v>
      </c>
      <c r="L80" s="52">
        <f t="shared" si="14"/>
        <v>2998.7999999999997</v>
      </c>
      <c r="M80" s="52">
        <f t="shared" si="15"/>
        <v>1661.2</v>
      </c>
      <c r="O80" s="43">
        <v>86</v>
      </c>
      <c r="P80" s="43">
        <f t="shared" si="16"/>
        <v>172</v>
      </c>
      <c r="Q80" s="54">
        <f t="shared" si="17"/>
        <v>2140</v>
      </c>
    </row>
    <row r="81" spans="2:17" x14ac:dyDescent="0.3">
      <c r="B81" s="49">
        <v>87</v>
      </c>
      <c r="C81" s="49">
        <f t="shared" si="10"/>
        <v>174</v>
      </c>
      <c r="D81" s="52">
        <f t="shared" ca="1" si="9"/>
        <v>3412.0124999999998</v>
      </c>
      <c r="F81" s="49">
        <v>87</v>
      </c>
      <c r="G81" s="49">
        <f t="shared" si="11"/>
        <v>174</v>
      </c>
      <c r="H81" s="52">
        <f t="shared" si="12"/>
        <v>2977.9250000000002</v>
      </c>
      <c r="J81" s="49">
        <v>87</v>
      </c>
      <c r="K81" s="49">
        <f t="shared" si="13"/>
        <v>174</v>
      </c>
      <c r="L81" s="52">
        <f t="shared" si="14"/>
        <v>3037.6</v>
      </c>
      <c r="M81" s="52">
        <f t="shared" si="15"/>
        <v>1682.3999999999999</v>
      </c>
      <c r="O81" s="43">
        <v>87</v>
      </c>
      <c r="P81" s="43">
        <f t="shared" si="16"/>
        <v>174</v>
      </c>
      <c r="Q81" s="54">
        <f t="shared" si="17"/>
        <v>2167.5</v>
      </c>
    </row>
    <row r="82" spans="2:17" x14ac:dyDescent="0.3">
      <c r="B82" s="49">
        <v>88</v>
      </c>
      <c r="C82" s="49">
        <f t="shared" si="10"/>
        <v>176</v>
      </c>
      <c r="D82" s="52">
        <f t="shared" ca="1" si="9"/>
        <v>3455.6750000000002</v>
      </c>
      <c r="F82" s="49">
        <v>88</v>
      </c>
      <c r="G82" s="49">
        <f t="shared" si="11"/>
        <v>176</v>
      </c>
      <c r="H82" s="52">
        <f t="shared" si="12"/>
        <v>3015.95</v>
      </c>
      <c r="J82" s="49">
        <v>88</v>
      </c>
      <c r="K82" s="49">
        <f t="shared" si="13"/>
        <v>176</v>
      </c>
      <c r="L82" s="52">
        <f t="shared" si="14"/>
        <v>3076.3999999999996</v>
      </c>
      <c r="M82" s="52">
        <f t="shared" si="15"/>
        <v>1703.6</v>
      </c>
      <c r="O82" s="43">
        <v>88</v>
      </c>
      <c r="P82" s="43">
        <f t="shared" si="16"/>
        <v>176</v>
      </c>
      <c r="Q82" s="54">
        <f t="shared" si="17"/>
        <v>2195</v>
      </c>
    </row>
    <row r="83" spans="2:17" x14ac:dyDescent="0.3">
      <c r="B83" s="49">
        <v>89</v>
      </c>
      <c r="C83" s="49">
        <f t="shared" si="10"/>
        <v>178</v>
      </c>
      <c r="D83" s="52">
        <f t="shared" ca="1" si="9"/>
        <v>3499.3375000000001</v>
      </c>
      <c r="F83" s="49">
        <v>89</v>
      </c>
      <c r="G83" s="49">
        <f t="shared" si="11"/>
        <v>178</v>
      </c>
      <c r="H83" s="52">
        <f t="shared" si="12"/>
        <v>3053.9749999999999</v>
      </c>
      <c r="J83" s="49">
        <v>89</v>
      </c>
      <c r="K83" s="49">
        <f t="shared" si="13"/>
        <v>178</v>
      </c>
      <c r="L83" s="52">
        <f t="shared" si="14"/>
        <v>3115.2</v>
      </c>
      <c r="M83" s="52">
        <f t="shared" si="15"/>
        <v>1724.8</v>
      </c>
      <c r="O83" s="43">
        <v>89</v>
      </c>
      <c r="P83" s="43">
        <f t="shared" si="16"/>
        <v>178</v>
      </c>
      <c r="Q83" s="54">
        <f t="shared" si="17"/>
        <v>2222.5</v>
      </c>
    </row>
    <row r="84" spans="2:17" x14ac:dyDescent="0.3">
      <c r="B84" s="53">
        <v>90</v>
      </c>
      <c r="C84" s="53">
        <f t="shared" si="10"/>
        <v>180</v>
      </c>
      <c r="D84" s="52">
        <v>3600</v>
      </c>
      <c r="F84" s="53">
        <v>90</v>
      </c>
      <c r="G84" s="53">
        <f t="shared" si="11"/>
        <v>180</v>
      </c>
      <c r="H84" s="52">
        <v>3100</v>
      </c>
      <c r="J84" s="53">
        <v>90</v>
      </c>
      <c r="K84" s="53">
        <f t="shared" si="13"/>
        <v>180</v>
      </c>
      <c r="L84" s="52">
        <f t="shared" si="14"/>
        <v>3154</v>
      </c>
      <c r="M84" s="52">
        <f t="shared" si="15"/>
        <v>1746</v>
      </c>
      <c r="O84" s="44">
        <v>90</v>
      </c>
      <c r="P84" s="44">
        <f t="shared" si="16"/>
        <v>180</v>
      </c>
      <c r="Q84" s="45">
        <f t="shared" si="17"/>
        <v>2250</v>
      </c>
    </row>
    <row r="85" spans="2:17" x14ac:dyDescent="0.3">
      <c r="B85" s="46" t="s">
        <v>86</v>
      </c>
      <c r="C85" s="47"/>
      <c r="D85" s="48"/>
      <c r="F85" s="46" t="s">
        <v>85</v>
      </c>
      <c r="G85" s="47"/>
      <c r="H85" s="48"/>
      <c r="J85" s="49">
        <v>91</v>
      </c>
      <c r="K85" s="49">
        <f t="shared" si="13"/>
        <v>182</v>
      </c>
      <c r="L85" s="49">
        <v>3600</v>
      </c>
      <c r="M85" s="49">
        <v>1966</v>
      </c>
      <c r="O85" s="43">
        <v>91</v>
      </c>
      <c r="P85" s="43">
        <v>2250</v>
      </c>
      <c r="Q85" s="43">
        <v>2250</v>
      </c>
    </row>
    <row r="86" spans="2:17" x14ac:dyDescent="0.3">
      <c r="B86" s="49">
        <v>91</v>
      </c>
      <c r="C86" s="49">
        <f t="shared" si="10"/>
        <v>182</v>
      </c>
      <c r="D86" s="52">
        <v>3600</v>
      </c>
      <c r="F86" s="49">
        <v>91</v>
      </c>
      <c r="G86" s="49">
        <f t="shared" si="11"/>
        <v>182</v>
      </c>
      <c r="H86" s="52">
        <f t="shared" ref="H86" si="18">H84</f>
        <v>3100</v>
      </c>
      <c r="J86" s="49">
        <v>92</v>
      </c>
      <c r="K86" s="49">
        <f t="shared" si="13"/>
        <v>184</v>
      </c>
      <c r="L86" s="49">
        <v>3600</v>
      </c>
      <c r="M86" s="49">
        <v>1966</v>
      </c>
      <c r="O86" s="43">
        <v>92</v>
      </c>
      <c r="P86" s="43">
        <v>2250</v>
      </c>
      <c r="Q86" s="43">
        <v>2250</v>
      </c>
    </row>
    <row r="87" spans="2:17" x14ac:dyDescent="0.3">
      <c r="B87" s="49">
        <v>92</v>
      </c>
      <c r="C87" s="49">
        <f t="shared" si="10"/>
        <v>184</v>
      </c>
      <c r="D87" s="52">
        <v>3600</v>
      </c>
      <c r="F87" s="49">
        <v>92</v>
      </c>
      <c r="G87" s="49">
        <f t="shared" si="11"/>
        <v>184</v>
      </c>
      <c r="H87" s="52">
        <f t="shared" ref="H87:H90" si="19">H86</f>
        <v>3100</v>
      </c>
      <c r="J87" s="49">
        <v>93</v>
      </c>
      <c r="K87" s="49">
        <f t="shared" si="13"/>
        <v>186</v>
      </c>
      <c r="L87" s="49">
        <v>3600</v>
      </c>
      <c r="M87" s="49">
        <v>1966</v>
      </c>
      <c r="O87" s="43">
        <v>93</v>
      </c>
      <c r="P87" s="43">
        <v>2250</v>
      </c>
      <c r="Q87" s="43">
        <v>2250</v>
      </c>
    </row>
    <row r="88" spans="2:17" x14ac:dyDescent="0.3">
      <c r="B88" s="49">
        <v>93</v>
      </c>
      <c r="C88" s="49">
        <f t="shared" si="10"/>
        <v>186</v>
      </c>
      <c r="D88" s="52">
        <v>3600</v>
      </c>
      <c r="F88" s="49">
        <v>93</v>
      </c>
      <c r="G88" s="49">
        <f t="shared" si="11"/>
        <v>186</v>
      </c>
      <c r="H88" s="52">
        <f t="shared" si="19"/>
        <v>3100</v>
      </c>
      <c r="J88" s="49">
        <v>94</v>
      </c>
      <c r="K88" s="49">
        <f t="shared" si="13"/>
        <v>188</v>
      </c>
      <c r="L88" s="49">
        <v>3600</v>
      </c>
      <c r="M88" s="49">
        <v>1966</v>
      </c>
      <c r="O88" s="43">
        <v>94</v>
      </c>
      <c r="P88" s="43">
        <v>2250</v>
      </c>
      <c r="Q88" s="43">
        <v>2250</v>
      </c>
    </row>
    <row r="89" spans="2:17" x14ac:dyDescent="0.3">
      <c r="B89" s="49">
        <v>94</v>
      </c>
      <c r="C89" s="49">
        <f t="shared" si="10"/>
        <v>188</v>
      </c>
      <c r="D89" s="52">
        <v>3600</v>
      </c>
      <c r="F89" s="49">
        <v>94</v>
      </c>
      <c r="G89" s="49">
        <f t="shared" si="11"/>
        <v>188</v>
      </c>
      <c r="H89" s="52">
        <f t="shared" si="19"/>
        <v>3100</v>
      </c>
      <c r="J89" s="49">
        <v>95</v>
      </c>
      <c r="K89" s="49">
        <f t="shared" si="13"/>
        <v>190</v>
      </c>
      <c r="L89" s="49">
        <v>3600</v>
      </c>
      <c r="M89" s="49">
        <v>1966</v>
      </c>
      <c r="O89" s="43">
        <v>95</v>
      </c>
      <c r="P89" s="43">
        <v>2250</v>
      </c>
      <c r="Q89" s="43">
        <v>2250</v>
      </c>
    </row>
    <row r="90" spans="2:17" x14ac:dyDescent="0.3">
      <c r="B90" s="49">
        <v>95</v>
      </c>
      <c r="C90" s="49">
        <f t="shared" si="10"/>
        <v>190</v>
      </c>
      <c r="D90" s="52">
        <v>3600</v>
      </c>
      <c r="F90" s="49">
        <v>95</v>
      </c>
      <c r="G90" s="49">
        <f t="shared" si="11"/>
        <v>190</v>
      </c>
      <c r="H90" s="52">
        <f t="shared" si="19"/>
        <v>3100</v>
      </c>
    </row>
  </sheetData>
  <mergeCells count="6">
    <mergeCell ref="B2:D2"/>
    <mergeCell ref="F2:H2"/>
    <mergeCell ref="J2:M2"/>
    <mergeCell ref="O2:Q2"/>
    <mergeCell ref="B85:D85"/>
    <mergeCell ref="F85:H8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1</vt:i4>
      </vt:variant>
    </vt:vector>
  </HeadingPairs>
  <TitlesOfParts>
    <vt:vector size="4" baseType="lpstr">
      <vt:lpstr>이력관리</vt:lpstr>
      <vt:lpstr>HKMC_PTC_HEATER</vt:lpstr>
      <vt:lpstr>제어성능표</vt:lpstr>
      <vt:lpstr>이력관리!Print_Area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2025-07-02T00:24:03Z</dcterms:created>
  <dcterms:modified xsi:type="dcterms:W3CDTF">2025-08-04T06:34:08Z</dcterms:modified>
</cp:coreProperties>
</file>