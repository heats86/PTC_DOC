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hkmc_ptc_heater\4. ES\1. 오픈소스취약점\Spec\"/>
    </mc:Choice>
  </mc:AlternateContent>
  <bookViews>
    <workbookView xWindow="0" yWindow="0" windowWidth="28800" windowHeight="12285"/>
  </bookViews>
  <sheets>
    <sheet name="Cover" sheetId="2" r:id="rId1"/>
    <sheet name="Summary (Before Fix)" sheetId="3" r:id="rId2"/>
    <sheet name="Summary (After Fix)" sheetId="4" r:id="rId3"/>
    <sheet name="Details" sheetId="5" r:id="rId4"/>
    <sheet name="Appendix. Software Architecture" sheetId="6" r:id="rId5"/>
  </sheets>
  <definedNames>
    <definedName name="_xlnm._FilterDatabase" localSheetId="2" hidden="1">'Summary (After Fix)'!$I$2:$J$2</definedName>
    <definedName name="_xlnm._FilterDatabase" localSheetId="1" hidden="1">'Summary (Before Fix)'!$I$2:$J$2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4" l="1"/>
  <c r="E29" i="4"/>
  <c r="D29" i="4"/>
  <c r="C29" i="4"/>
  <c r="I4" i="4"/>
  <c r="J4" i="4" s="1"/>
  <c r="G4" i="4"/>
  <c r="I3" i="4"/>
  <c r="I29" i="4" s="1"/>
  <c r="J29" i="4" s="1"/>
  <c r="G3" i="4"/>
  <c r="G29" i="4" s="1"/>
  <c r="I29" i="3"/>
  <c r="J29" i="3" s="1"/>
  <c r="G29" i="3"/>
  <c r="F29" i="3"/>
  <c r="E29" i="3"/>
  <c r="D29" i="3"/>
  <c r="C29" i="3"/>
  <c r="I4" i="3"/>
  <c r="J4" i="3" s="1"/>
  <c r="G4" i="3"/>
  <c r="I3" i="3"/>
  <c r="J3" i="3" s="1"/>
  <c r="G3" i="3"/>
  <c r="B12" i="2"/>
  <c r="J3" i="4" l="1"/>
</calcChain>
</file>

<file path=xl/comments1.xml><?xml version="1.0" encoding="utf-8"?>
<comments xmlns="http://schemas.openxmlformats.org/spreadsheetml/2006/main">
  <authors>
    <author>tc={47912A20-B1ED-4CBF-8772-73803109F0DC}</author>
    <author>tc={6308F2CE-5C8F-417F-8F0A-743C7A74836F}</author>
    <author>tc={232DA408-AFEC-497B-9A82-672A24BCD0F1}</author>
    <author>tc={D8FFEAAA-2C51-430E-8BDB-1520C28C5C93}</author>
    <author>tc={1A6D875F-E760-489E-9B8A-9D12A1726120}</author>
    <author>tc={CA6E0985-F652-44A5-9D99-FE087B90FACE}</author>
    <author>tc={961F9F31-9300-43F3-A26F-8BEC368A9D2A}</author>
    <author>tc={B91933E0-1E7A-4801-93AD-ABA5E9982EDE}</author>
    <author>tc={111FD262-0A3C-4835-A3BF-4DA89E49E161}</author>
    <author>tc={EA794E14-9710-4171-B673-436946C256E0}</author>
    <author>tc={C0E06870-4DD5-4A5B-B9DF-EFACE6731423}</author>
    <author>tc={268FBDB1-9797-4EE6-8DEC-0C50754EDA50}</author>
  </authors>
  <commentList>
    <comment ref="B3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업체 개발사양 : 협력업체명을 작성
※ HKMC 개발사양 : HKMC 개발 부서명(팀명)을 작성</t>
        </r>
      </text>
    </comment>
    <comment ref="E3" authorId="1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검증 성적서 작성자 명</t>
        </r>
      </text>
    </comment>
    <comment ref="B4" authorId="2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검증 수행한 OSS가 적용되는 차종명 작성</t>
        </r>
      </text>
    </comment>
    <comment ref="E4" authorId="3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제어기 명, 플랫폼 등 상세 사용 영역 기재
※ 펌웨어의 경우 버전 포함 기재
 - Before Fix와 After fix의 (공식 릴리즈)버전 정보가 상이한 경우, 둘 다 기입 필요
※ 모든 사용 영역 이름, 개발사, 해당 버전 기재</t>
        </r>
      </text>
    </comment>
    <comment ref="B5" authorId="4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팀 및 담당자 명</t>
        </r>
      </text>
    </comment>
    <comment ref="E5" authorId="5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실제 스캔 수행일자 기재 (증빙 첨부 포함)</t>
        </r>
      </text>
    </comment>
    <comment ref="B6" authorId="6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검증에 사용된 오픈소스 검증 도구 명 및 버전 기재</t>
        </r>
      </text>
    </comment>
    <comment ref="E6" authorId="7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취약점 DB 업데이트 기준일자 기재 (증빙 첨부 포함)</t>
        </r>
      </text>
    </comment>
    <comment ref="B7" authorId="8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프로젝트에 사용된 전체 오픈소스 개수</t>
        </r>
      </text>
    </comment>
    <comment ref="E7" authorId="9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검증툴 수행 결과물(Raw data) 첨부
- Scan 수행일, 취약점 DB 업데이트 일자, 검출된 오픈소스 component, 취약점 리스트를 확인할 수 있는 raw data 첨부</t>
        </r>
      </text>
    </comment>
    <comment ref="B8" authorId="1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※ HIGH 또는 CRITICAL 위험도 취약점 개수 총합
(버전 업그레이드, 패치 적용 외에 위험수용 등으로 잔존한 고위험군 취약점 개수를 뜻함)</t>
        </r>
      </text>
    </comment>
    <comment ref="E8" authorId="11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OK / NG
- 잔여 고위험군 취약점이 0개이면 OK
- 잔여 고위험군 취약점이 남아 있는 경우, 각 항목마다 위험수용을 통해 증빙되는 경우에만 OK 가능. 그 외의 경우 NG</t>
        </r>
      </text>
    </comment>
  </commentList>
</comments>
</file>

<file path=xl/comments2.xml><?xml version="1.0" encoding="utf-8"?>
<comments xmlns="http://schemas.openxmlformats.org/spreadsheetml/2006/main">
  <authors>
    <author>tc={C48175C4-EA0A-4343-9042-6CFC12602C47}</author>
  </authors>
  <commentList>
    <comment ref="A1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‘표지'에 첨부한 raw data 기준 전체 취약점 개수를 요약한 결과물.
검토자는 raw data, 상세 페이지의 전체 취약점 리스트와 현 요약 페이지의 구성항목을 통해 정합성을 확인할 수 있다.</t>
        </r>
      </text>
    </comment>
  </commentList>
</comments>
</file>

<file path=xl/comments3.xml><?xml version="1.0" encoding="utf-8"?>
<comments xmlns="http://schemas.openxmlformats.org/spreadsheetml/2006/main">
  <authors>
    <author>tc={24A8DCFB-2A4B-496C-994C-CFFD9A356FEF}</author>
  </authors>
  <commentList>
    <comment ref="A1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‘표지'에 첨부한 raw data 기준 전체 취약점 개수를 요약한 결과물.
검토자는 raw data, 상세 페이지의 전체 취약점 리스트와 현 요약 페이지의 구성항목을 통해 정합성을 확인할 수 있다.</t>
        </r>
      </text>
    </comment>
  </commentList>
</comments>
</file>

<file path=xl/comments4.xml><?xml version="1.0" encoding="utf-8"?>
<comments xmlns="http://schemas.openxmlformats.org/spreadsheetml/2006/main">
  <authors>
    <author>tc={62CC78B9-1DD6-460F-BEE8-557833B6E002}</author>
  </authors>
  <commentList>
    <comment ref="A1" authorId="0" shapeId="0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- Raw data 기준 검출된 모든 취약점에 대한 처리 결과 및 검토 의견을 작성한다.
- 모든 취약점에 대한 처리 결과는 제 3자에게 소명 가능한 증빙 형태로 제출(첨부)되어야 한다.
- 모든 취약점은 아래와 같이 4가지 status를 구분하여 제출되어야 한다.
 . Patched : 공식 패치 적용을 통해 해당 취약점이 해결되었음
 . Justified : 해당 취약점이 제품에 영향이 없음(명확한 사유 포함 필요)
 . Risk Accepted : 취약점에 대한 위험을 수용하기로 결정함
 . N/A : CVSS v3 Base score 7.0 미만으로, 당사 사양 기준 허용 범주 내 취약점</t>
        </r>
      </text>
    </comment>
  </commentList>
</comments>
</file>

<file path=xl/sharedStrings.xml><?xml version="1.0" encoding="utf-8"?>
<sst xmlns="http://schemas.openxmlformats.org/spreadsheetml/2006/main" count="82" uniqueCount="72">
  <si>
    <t>오픈소스 소프트웨어 보안 검증 성적서
Open Source Software Vulnerability Verification Report</t>
    <phoneticPr fontId="3" type="noConversion"/>
  </si>
  <si>
    <t>프로젝트명
Project Name</t>
    <phoneticPr fontId="3" type="noConversion"/>
  </si>
  <si>
    <t>제출일
Submission Date</t>
    <phoneticPr fontId="3" type="noConversion"/>
  </si>
  <si>
    <t xml:space="preserve">    년    월   일</t>
    <phoneticPr fontId="3" type="noConversion"/>
  </si>
  <si>
    <t>개발 부문명
Development Company</t>
    <phoneticPr fontId="3" type="noConversion"/>
  </si>
  <si>
    <t>※ 업체 개발사양 : 협력업체명을 작성
※ HKMC 개발사양 : HKMC 개발 부서명(팀명)을 작성</t>
    <phoneticPr fontId="3" type="noConversion"/>
  </si>
  <si>
    <t>작성자
Author</t>
    <phoneticPr fontId="3" type="noConversion"/>
  </si>
  <si>
    <t>※ 검증 성적서 작성자 명</t>
    <phoneticPr fontId="3" type="noConversion"/>
  </si>
  <si>
    <t>적용 차종
Target Vehicle</t>
    <phoneticPr fontId="3" type="noConversion"/>
  </si>
  <si>
    <t>※ 검증 수행한 OSS가 적용되는 차종명 작성</t>
    <phoneticPr fontId="3" type="noConversion"/>
  </si>
  <si>
    <t>사용 영역
Target Area</t>
    <phoneticPr fontId="3" type="noConversion"/>
  </si>
  <si>
    <t>※ 제어기 명, 플랫폼 등 상세 사용 영역 기재
※ 펌웨어의 경우 버전 포함 기재
 - Before Fix와 After fix의 (공식 릴리즈)버전 정보가 상이한 경우, 둘 다 기입 필요
※ 모든 사용 영역 이름, 개발사, 해당 버전 기재</t>
    <phoneticPr fontId="3" type="noConversion"/>
  </si>
  <si>
    <t>HMC/KIA 설계 담당
HMC/KIA Development Team</t>
    <phoneticPr fontId="3" type="noConversion"/>
  </si>
  <si>
    <t>※ 팀 및 담당자 명</t>
    <phoneticPr fontId="3" type="noConversion"/>
  </si>
  <si>
    <t>검증툴 스캔 수행일
Verification Tool Scan Date</t>
    <phoneticPr fontId="3" type="noConversion"/>
  </si>
  <si>
    <t>※ 실제 스캔 수행일자 기재 (증빙 첨부 포함)</t>
    <phoneticPr fontId="3" type="noConversion"/>
  </si>
  <si>
    <t>오픈소스 검증툴 명 및 버전
Open Source Verification Tool Name &amp; Version</t>
    <phoneticPr fontId="3" type="noConversion"/>
  </si>
  <si>
    <t>※ 검증에 사용된 오픈소스 검증 도구 명 및 버전 기재</t>
    <phoneticPr fontId="3" type="noConversion"/>
  </si>
  <si>
    <t>취약점 DB 업데이트 기준일자
Vulnerability DB Update Date</t>
    <phoneticPr fontId="3" type="noConversion"/>
  </si>
  <si>
    <t>※ 취약점 DB 업데이트 기준일자 기재 (증빙 첨부 포함)</t>
    <phoneticPr fontId="3" type="noConversion"/>
  </si>
  <si>
    <t>검증 대상 오픈소스 항목
Open Source items to be verified</t>
    <phoneticPr fontId="3" type="noConversion"/>
  </si>
  <si>
    <t>※ 프로젝트에 사용된 전체 오픈소스 개수</t>
    <phoneticPr fontId="3" type="noConversion"/>
  </si>
  <si>
    <t>첨부
Attach.</t>
    <phoneticPr fontId="3" type="noConversion"/>
  </si>
  <si>
    <t>※ 검증툴 수행 결과물(Raw data) 첨부</t>
    <phoneticPr fontId="3" type="noConversion"/>
  </si>
  <si>
    <t>잔여 고위험군 취약점
(위험 수용)
Residual High Risk Vulnerabilities
(Risk Accepted)</t>
    <phoneticPr fontId="3" type="noConversion"/>
  </si>
  <si>
    <t>※ HIGH 또는 CRITICAL 위험도 취약점 개수 총합</t>
    <phoneticPr fontId="3" type="noConversion"/>
  </si>
  <si>
    <t>종합 결과
Final Result</t>
    <phoneticPr fontId="3" type="noConversion"/>
  </si>
  <si>
    <t>OK / NG</t>
    <phoneticPr fontId="3" type="noConversion"/>
  </si>
  <si>
    <t>Revision History</t>
    <phoneticPr fontId="8" type="noConversion"/>
  </si>
  <si>
    <t>Rev.</t>
    <phoneticPr fontId="8" type="noConversion"/>
  </si>
  <si>
    <t>Date</t>
    <phoneticPr fontId="8" type="noConversion"/>
  </si>
  <si>
    <t>Author</t>
    <phoneticPr fontId="8" type="noConversion"/>
  </si>
  <si>
    <t>Description</t>
    <phoneticPr fontId="8" type="noConversion"/>
  </si>
  <si>
    <t>Reviewer</t>
    <phoneticPr fontId="8" type="noConversion"/>
  </si>
  <si>
    <t>협력사 담당자</t>
    <phoneticPr fontId="3" type="noConversion"/>
  </si>
  <si>
    <t>First Draft</t>
    <phoneticPr fontId="3" type="noConversion"/>
  </si>
  <si>
    <t>작성자 소속장</t>
    <phoneticPr fontId="3" type="noConversion"/>
  </si>
  <si>
    <t>취약점 분석 결과 (수정 전, Raw data 기준)
Vulnerability Verification Results (Before Fix, Based on Raw data)</t>
    <phoneticPr fontId="3" type="noConversion"/>
  </si>
  <si>
    <t>Component Name</t>
    <phoneticPr fontId="3" type="noConversion"/>
  </si>
  <si>
    <t>Version</t>
    <phoneticPr fontId="3" type="noConversion"/>
  </si>
  <si>
    <t>LOW</t>
    <phoneticPr fontId="3" type="noConversion"/>
  </si>
  <si>
    <t>MEDIUM</t>
    <phoneticPr fontId="3" type="noConversion"/>
  </si>
  <si>
    <t>HIGH</t>
    <phoneticPr fontId="3" type="noConversion"/>
  </si>
  <si>
    <t>CRITICAL</t>
    <phoneticPr fontId="3" type="noConversion"/>
  </si>
  <si>
    <t>Total</t>
    <phoneticPr fontId="3" type="noConversion"/>
  </si>
  <si>
    <t>High-risk group
(HIGH/CRITICAL)</t>
    <phoneticPr fontId="3" type="noConversion"/>
  </si>
  <si>
    <t>Pass / Fail</t>
    <phoneticPr fontId="3" type="noConversion"/>
  </si>
  <si>
    <t>ex) Bash</t>
    <phoneticPr fontId="3" type="noConversion"/>
  </si>
  <si>
    <t>4.4.12</t>
    <phoneticPr fontId="3" type="noConversion"/>
  </si>
  <si>
    <t>ex) BlueZ</t>
    <phoneticPr fontId="3" type="noConversion"/>
  </si>
  <si>
    <t>Total</t>
    <phoneticPr fontId="3" type="noConversion"/>
  </si>
  <si>
    <t>취약점 분석 결과 (수정 후)
Vulnerability Verification Results (After Fix)</t>
    <phoneticPr fontId="3" type="noConversion"/>
  </si>
  <si>
    <t>Version</t>
    <phoneticPr fontId="3" type="noConversion"/>
  </si>
  <si>
    <t>MEDIUM</t>
    <phoneticPr fontId="3" type="noConversion"/>
  </si>
  <si>
    <t>HIGH</t>
    <phoneticPr fontId="3" type="noConversion"/>
  </si>
  <si>
    <t>CRITICAL</t>
    <phoneticPr fontId="3" type="noConversion"/>
  </si>
  <si>
    <t>High-risk group
(HIGH/CRITICAL)</t>
    <phoneticPr fontId="3" type="noConversion"/>
  </si>
  <si>
    <t>ex) Bash</t>
    <phoneticPr fontId="3" type="noConversion"/>
  </si>
  <si>
    <t>4.4.12</t>
    <phoneticPr fontId="3" type="noConversion"/>
  </si>
  <si>
    <t>검출 취약점 (상세)
Detected Vulnerabilities (Detailed)</t>
    <phoneticPr fontId="3" type="noConversion"/>
  </si>
  <si>
    <t>Comonent</t>
    <phoneticPr fontId="3" type="noConversion"/>
  </si>
  <si>
    <t>CVE ID</t>
    <phoneticPr fontId="3" type="noConversion"/>
  </si>
  <si>
    <t>CVSS v3 Base Score</t>
    <phoneticPr fontId="3" type="noConversion"/>
  </si>
  <si>
    <t>Security Risk</t>
    <phoneticPr fontId="3" type="noConversion"/>
  </si>
  <si>
    <t>Description</t>
    <phoneticPr fontId="3" type="noConversion"/>
  </si>
  <si>
    <t>URL</t>
    <phoneticPr fontId="3" type="noConversion"/>
  </si>
  <si>
    <t>Status</t>
    <phoneticPr fontId="3" type="noConversion"/>
  </si>
  <si>
    <t>comment &amp; attachment</t>
    <phoneticPr fontId="3" type="noConversion"/>
  </si>
  <si>
    <t>CVE-2016-0634</t>
    <phoneticPr fontId="3" type="noConversion"/>
  </si>
  <si>
    <t>The expansion of '\h' in the prompt string in bash 4.3 allows remote authenticated users to execute arbitrary code via shell metacharacters placed in 'hostname' of a machine.</t>
    <phoneticPr fontId="3" type="noConversion"/>
  </si>
  <si>
    <t>https://nvd.nist.gov/vuln/detail/CVE-2016-0634</t>
    <phoneticPr fontId="3" type="noConversion"/>
  </si>
  <si>
    <t>Justified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</si>
</sst>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2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1"/>
      <color theme="2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2" tint="-0.249977111117893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3" xfId="0" applyFont="1" applyBorder="1">
      <alignment vertical="center"/>
    </xf>
    <xf numFmtId="0" fontId="5" fillId="0" borderId="13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0" fontId="4" fillId="3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" fillId="0" borderId="0" xfId="1">
      <alignment vertical="center"/>
    </xf>
    <xf numFmtId="0" fontId="2" fillId="2" borderId="2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4" fillId="3" borderId="9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14" fontId="5" fillId="0" borderId="12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9" xfId="1" applyBorder="1">
      <alignment vertical="center"/>
    </xf>
    <xf numFmtId="0" fontId="1" fillId="0" borderId="12" xfId="1" applyBorder="1">
      <alignment vertical="center"/>
    </xf>
    <xf numFmtId="0" fontId="1" fillId="0" borderId="13" xfId="1" applyBorder="1">
      <alignment vertical="center"/>
    </xf>
    <xf numFmtId="0" fontId="1" fillId="0" borderId="15" xfId="1" applyBorder="1">
      <alignment vertical="center"/>
    </xf>
    <xf numFmtId="0" fontId="1" fillId="0" borderId="18" xfId="1" applyBorder="1">
      <alignment vertical="center"/>
    </xf>
    <xf numFmtId="0" fontId="1" fillId="0" borderId="19" xfId="1" applyBorder="1">
      <alignment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23" xfId="0" applyFont="1" applyFill="1" applyBorder="1" applyAlignment="1">
      <alignment horizontal="center" vertical="center" wrapText="1"/>
    </xf>
    <xf numFmtId="0" fontId="5" fillId="0" borderId="26" xfId="0" applyFont="1" applyBorder="1">
      <alignment vertical="center"/>
    </xf>
    <xf numFmtId="0" fontId="7" fillId="0" borderId="0" xfId="0" applyFont="1">
      <alignment vertical="center"/>
    </xf>
    <xf numFmtId="0" fontId="5" fillId="0" borderId="26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9" fillId="0" borderId="12" xfId="0" applyFont="1" applyBorder="1">
      <alignment vertical="center"/>
    </xf>
    <xf numFmtId="0" fontId="10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12" fillId="0" borderId="26" xfId="2" applyFont="1" applyBorder="1" applyAlignment="1">
      <alignment horizontal="left" vertical="center" wrapText="1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>
      <alignment vertical="center"/>
    </xf>
  </cellXfs>
  <cellStyles count="3">
    <cellStyle name="표준" xfId="0" builtinId="0"/>
    <cellStyle name="표준 2" xfId="1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176895</xdr:colOff>
      <xdr:row>1</xdr:row>
      <xdr:rowOff>84833</xdr:rowOff>
    </xdr:from>
    <xdr:to>
      <xdr:col>15</xdr:col>
      <xdr:colOff>438151</xdr:colOff>
      <xdr:row>27</xdr:row>
      <xdr:rowOff>71543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18CAE5-C171-1E35-7E3C-ADBF1176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95" y="294383"/>
          <a:ext cx="10548256" cy="5435010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nvd.nist.gov/vuln/detail/CVE-2016-063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4"/>
  <sheetViews>
    <sheetView tabSelected="1" zoomScale="85" zoomScaleNormal="85" workbookViewId="0">
      <selection sqref="A1:E1"/>
    </sheetView>
  </sheetViews>
  <sheetFormatPr defaultRowHeight="16.5" x14ac:dyDescent="0.3"/>
  <cols>
    <col min="1" max="1" width="26.25" bestFit="1" customWidth="1"/>
    <col min="2" max="2" width="20.125" customWidth="1"/>
    <col min="3" max="3" width="31.875" customWidth="1"/>
    <col min="4" max="4" width="27.375" customWidth="1"/>
    <col min="5" max="5" width="44.875" customWidth="1"/>
  </cols>
  <sheetData>
    <row r="1" spans="1:6" ht="61.5" customHeight="1" thickBot="1" x14ac:dyDescent="0.35">
      <c r="A1" s="1" t="s">
        <v>0</v>
      </c>
      <c r="B1" s="2"/>
      <c r="C1" s="2"/>
      <c r="D1" s="2"/>
      <c r="E1" s="3"/>
    </row>
    <row r="2" spans="1:6" ht="56.25" customHeight="1" x14ac:dyDescent="0.3">
      <c r="A2" s="4" t="s">
        <v>1</v>
      </c>
      <c r="B2" s="5"/>
      <c r="C2" s="6"/>
      <c r="D2" s="7" t="s">
        <v>2</v>
      </c>
      <c r="E2" s="8" t="s">
        <v>3</v>
      </c>
    </row>
    <row r="3" spans="1:6" ht="56.25" customHeight="1" x14ac:dyDescent="0.3">
      <c r="A3" s="9" t="s">
        <v>4</v>
      </c>
      <c r="B3" s="10" t="s">
        <v>5</v>
      </c>
      <c r="C3" s="11"/>
      <c r="D3" s="12" t="s">
        <v>6</v>
      </c>
      <c r="E3" s="13" t="s">
        <v>7</v>
      </c>
    </row>
    <row r="4" spans="1:6" ht="82.5" x14ac:dyDescent="0.3">
      <c r="A4" s="9" t="s">
        <v>8</v>
      </c>
      <c r="B4" s="10" t="s">
        <v>9</v>
      </c>
      <c r="C4" s="11"/>
      <c r="D4" s="12" t="s">
        <v>10</v>
      </c>
      <c r="E4" s="14" t="s">
        <v>11</v>
      </c>
    </row>
    <row r="5" spans="1:6" ht="56.25" customHeight="1" x14ac:dyDescent="0.3">
      <c r="A5" s="9" t="s">
        <v>12</v>
      </c>
      <c r="B5" s="10" t="s">
        <v>13</v>
      </c>
      <c r="C5" s="11"/>
      <c r="D5" s="12" t="s">
        <v>14</v>
      </c>
      <c r="E5" s="14" t="s">
        <v>15</v>
      </c>
    </row>
    <row r="6" spans="1:6" ht="56.25" customHeight="1" x14ac:dyDescent="0.3">
      <c r="A6" s="9" t="s">
        <v>16</v>
      </c>
      <c r="B6" s="10" t="s">
        <v>17</v>
      </c>
      <c r="C6" s="11"/>
      <c r="D6" s="12" t="s">
        <v>18</v>
      </c>
      <c r="E6" s="14" t="s">
        <v>19</v>
      </c>
    </row>
    <row r="7" spans="1:6" ht="56.25" customHeight="1" x14ac:dyDescent="0.3">
      <c r="A7" s="9" t="s">
        <v>20</v>
      </c>
      <c r="B7" s="10" t="s">
        <v>21</v>
      </c>
      <c r="C7" s="11"/>
      <c r="D7" s="12" t="s">
        <v>22</v>
      </c>
      <c r="E7" s="15" t="s">
        <v>23</v>
      </c>
    </row>
    <row r="8" spans="1:6" ht="83.25" thickBot="1" x14ac:dyDescent="0.35">
      <c r="A8" s="16" t="s">
        <v>24</v>
      </c>
      <c r="B8" s="17" t="s">
        <v>25</v>
      </c>
      <c r="C8" s="18"/>
      <c r="D8" s="19" t="s">
        <v>26</v>
      </c>
      <c r="E8" s="20" t="s">
        <v>27</v>
      </c>
    </row>
    <row r="9" spans="1:6" ht="17.25" thickBot="1" x14ac:dyDescent="0.35">
      <c r="A9" s="21"/>
      <c r="B9" s="21"/>
      <c r="C9" s="21"/>
      <c r="D9" s="21"/>
      <c r="E9" s="21"/>
      <c r="F9" s="21"/>
    </row>
    <row r="10" spans="1:6" ht="31.5" customHeight="1" x14ac:dyDescent="0.3">
      <c r="A10" s="22" t="s">
        <v>28</v>
      </c>
      <c r="B10" s="23"/>
      <c r="C10" s="23"/>
      <c r="D10" s="23"/>
      <c r="E10" s="24"/>
      <c r="F10" s="21"/>
    </row>
    <row r="11" spans="1:6" ht="24.75" customHeight="1" x14ac:dyDescent="0.3">
      <c r="A11" s="25" t="s">
        <v>29</v>
      </c>
      <c r="B11" s="26" t="s">
        <v>30</v>
      </c>
      <c r="C11" s="26" t="s">
        <v>31</v>
      </c>
      <c r="D11" s="26" t="s">
        <v>32</v>
      </c>
      <c r="E11" s="27" t="s">
        <v>33</v>
      </c>
      <c r="F11" s="21"/>
    </row>
    <row r="12" spans="1:6" x14ac:dyDescent="0.3">
      <c r="A12" s="28">
        <v>0.01</v>
      </c>
      <c r="B12" s="29">
        <f ca="1">TODAY()</f>
        <v>45742</v>
      </c>
      <c r="C12" s="30" t="s">
        <v>34</v>
      </c>
      <c r="D12" s="30" t="s">
        <v>35</v>
      </c>
      <c r="E12" s="31" t="s">
        <v>36</v>
      </c>
      <c r="F12" s="21"/>
    </row>
    <row r="13" spans="1:6" x14ac:dyDescent="0.3">
      <c r="A13" s="32"/>
      <c r="B13" s="33"/>
      <c r="C13" s="33"/>
      <c r="D13" s="33"/>
      <c r="E13" s="34"/>
      <c r="F13" s="21"/>
    </row>
    <row r="14" spans="1:6" x14ac:dyDescent="0.3">
      <c r="A14" s="32"/>
      <c r="B14" s="33"/>
      <c r="C14" s="33"/>
      <c r="D14" s="33"/>
      <c r="E14" s="34"/>
      <c r="F14" s="21"/>
    </row>
    <row r="15" spans="1:6" x14ac:dyDescent="0.3">
      <c r="A15" s="32"/>
      <c r="B15" s="33"/>
      <c r="C15" s="33"/>
      <c r="D15" s="33"/>
      <c r="E15" s="34"/>
      <c r="F15" s="21"/>
    </row>
    <row r="16" spans="1:6" x14ac:dyDescent="0.3">
      <c r="A16" s="32"/>
      <c r="B16" s="33"/>
      <c r="C16" s="33"/>
      <c r="D16" s="33"/>
      <c r="E16" s="34"/>
      <c r="F16" s="21"/>
    </row>
    <row r="17" spans="1:6" x14ac:dyDescent="0.3">
      <c r="A17" s="32"/>
      <c r="B17" s="33"/>
      <c r="C17" s="33"/>
      <c r="D17" s="33"/>
      <c r="E17" s="34"/>
      <c r="F17" s="21"/>
    </row>
    <row r="18" spans="1:6" x14ac:dyDescent="0.3">
      <c r="A18" s="32"/>
      <c r="B18" s="33"/>
      <c r="C18" s="33"/>
      <c r="D18" s="33"/>
      <c r="E18" s="34"/>
      <c r="F18" s="21"/>
    </row>
    <row r="19" spans="1:6" x14ac:dyDescent="0.3">
      <c r="A19" s="35"/>
      <c r="B19" s="36"/>
      <c r="C19" s="36"/>
      <c r="D19" s="36"/>
      <c r="E19" s="37"/>
      <c r="F19" s="21"/>
    </row>
    <row r="20" spans="1:6" x14ac:dyDescent="0.3">
      <c r="A20" s="35"/>
      <c r="B20" s="36"/>
      <c r="C20" s="36"/>
      <c r="D20" s="36"/>
      <c r="E20" s="37"/>
      <c r="F20" s="21"/>
    </row>
    <row r="21" spans="1:6" x14ac:dyDescent="0.3">
      <c r="A21" s="35"/>
      <c r="B21" s="36"/>
      <c r="C21" s="36"/>
      <c r="D21" s="36"/>
      <c r="E21" s="37"/>
      <c r="F21" s="21"/>
    </row>
    <row r="22" spans="1:6" x14ac:dyDescent="0.3">
      <c r="A22" s="35"/>
      <c r="B22" s="36"/>
      <c r="C22" s="36"/>
      <c r="D22" s="36"/>
      <c r="E22" s="37"/>
      <c r="F22" s="21"/>
    </row>
    <row r="23" spans="1:6" ht="17.25" thickBot="1" x14ac:dyDescent="0.35">
      <c r="A23" s="38"/>
      <c r="B23" s="39"/>
      <c r="C23" s="39"/>
      <c r="D23" s="39"/>
      <c r="E23" s="40"/>
      <c r="F23" s="21"/>
    </row>
    <row r="24" spans="1:6" x14ac:dyDescent="0.3">
      <c r="A24" s="21"/>
      <c r="B24" s="21"/>
      <c r="C24" s="21"/>
      <c r="D24" s="21"/>
      <c r="E24" s="21"/>
      <c r="F24" s="21"/>
    </row>
  </sheetData>
  <mergeCells count="9">
    <mergeCell ref="B7:C7"/>
    <mergeCell ref="B8:C8"/>
    <mergeCell ref="A10:E10"/>
    <mergeCell ref="A1:E1"/>
    <mergeCell ref="B2:C2"/>
    <mergeCell ref="B3:C3"/>
    <mergeCell ref="B4:C4"/>
    <mergeCell ref="B5:C5"/>
    <mergeCell ref="B6:C6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"/>
  <sheetViews>
    <sheetView workbookViewId="0">
      <selection sqref="A1:E1"/>
    </sheetView>
  </sheetViews>
  <sheetFormatPr defaultRowHeight="16.5" x14ac:dyDescent="0.3"/>
  <cols>
    <col min="1" max="1" width="21.625" bestFit="1" customWidth="1"/>
    <col min="8" max="8" width="2" customWidth="1"/>
    <col min="9" max="9" width="16.5" bestFit="1" customWidth="1"/>
    <col min="10" max="10" width="11.375" style="58" customWidth="1"/>
  </cols>
  <sheetData>
    <row r="1" spans="1:10" ht="62.25" customHeight="1" thickBot="1" x14ac:dyDescent="0.35">
      <c r="A1" s="1" t="s">
        <v>37</v>
      </c>
      <c r="B1" s="2"/>
      <c r="C1" s="2"/>
      <c r="D1" s="2"/>
      <c r="E1" s="2"/>
      <c r="F1" s="2"/>
      <c r="G1" s="2"/>
      <c r="H1" s="2"/>
      <c r="I1" s="2"/>
      <c r="J1" s="3"/>
    </row>
    <row r="2" spans="1:10" ht="33.75" thickBot="1" x14ac:dyDescent="0.35">
      <c r="A2" s="41" t="s">
        <v>38</v>
      </c>
      <c r="B2" s="42" t="s">
        <v>39</v>
      </c>
      <c r="C2" s="42" t="s">
        <v>40</v>
      </c>
      <c r="D2" s="42" t="s">
        <v>41</v>
      </c>
      <c r="E2" s="42" t="s">
        <v>42</v>
      </c>
      <c r="F2" s="42" t="s">
        <v>43</v>
      </c>
      <c r="G2" s="43" t="s">
        <v>44</v>
      </c>
      <c r="H2" s="44"/>
      <c r="I2" s="45" t="s">
        <v>45</v>
      </c>
      <c r="J2" s="43" t="s">
        <v>46</v>
      </c>
    </row>
    <row r="3" spans="1:10" x14ac:dyDescent="0.3">
      <c r="A3" s="46" t="s">
        <v>47</v>
      </c>
      <c r="B3" s="46" t="s">
        <v>48</v>
      </c>
      <c r="C3" s="46">
        <v>0</v>
      </c>
      <c r="D3" s="46">
        <v>0</v>
      </c>
      <c r="E3" s="46">
        <v>2</v>
      </c>
      <c r="F3" s="46">
        <v>0</v>
      </c>
      <c r="G3" s="46">
        <f>SUM(C3:F3)</f>
        <v>2</v>
      </c>
      <c r="H3" s="47"/>
      <c r="I3" s="46">
        <f>E3+F3</f>
        <v>2</v>
      </c>
      <c r="J3" s="48" t="str">
        <f>IF(I3&gt;0, "Fail", IF(I3=0,"Pass",""))</f>
        <v>Fail</v>
      </c>
    </row>
    <row r="4" spans="1:10" x14ac:dyDescent="0.3">
      <c r="A4" s="49" t="s">
        <v>49</v>
      </c>
      <c r="B4" s="50">
        <v>5.48</v>
      </c>
      <c r="C4" s="49">
        <v>0</v>
      </c>
      <c r="D4" s="49">
        <v>0</v>
      </c>
      <c r="E4" s="49">
        <v>0</v>
      </c>
      <c r="F4" s="49">
        <v>0</v>
      </c>
      <c r="G4" s="49">
        <f>SUM(C4:F4)</f>
        <v>0</v>
      </c>
      <c r="H4" s="47"/>
      <c r="I4" s="49">
        <f>E4+F4</f>
        <v>0</v>
      </c>
      <c r="J4" s="51" t="str">
        <f>IF(I4&gt;0, "Fail", IF(I4=0,"Pass",""))</f>
        <v>Pass</v>
      </c>
    </row>
    <row r="5" spans="1:10" x14ac:dyDescent="0.3">
      <c r="A5" s="52"/>
      <c r="B5" s="52"/>
      <c r="C5" s="52"/>
      <c r="D5" s="52"/>
      <c r="E5" s="52"/>
      <c r="F5" s="52"/>
      <c r="G5" s="52"/>
      <c r="I5" s="52"/>
      <c r="J5" s="53"/>
    </row>
    <row r="6" spans="1:10" x14ac:dyDescent="0.3">
      <c r="A6" s="52"/>
      <c r="B6" s="52"/>
      <c r="C6" s="52"/>
      <c r="D6" s="52"/>
      <c r="E6" s="52"/>
      <c r="F6" s="52"/>
      <c r="G6" s="52"/>
      <c r="I6" s="52"/>
      <c r="J6" s="53"/>
    </row>
    <row r="7" spans="1:10" x14ac:dyDescent="0.3">
      <c r="A7" s="52"/>
      <c r="B7" s="52"/>
      <c r="C7" s="52"/>
      <c r="D7" s="52"/>
      <c r="E7" s="52"/>
      <c r="F7" s="52"/>
      <c r="G7" s="52"/>
      <c r="I7" s="52"/>
      <c r="J7" s="53"/>
    </row>
    <row r="8" spans="1:10" x14ac:dyDescent="0.3">
      <c r="A8" s="52"/>
      <c r="B8" s="52"/>
      <c r="C8" s="52"/>
      <c r="D8" s="52"/>
      <c r="E8" s="52"/>
      <c r="F8" s="52"/>
      <c r="G8" s="52"/>
      <c r="I8" s="52"/>
      <c r="J8" s="53"/>
    </row>
    <row r="9" spans="1:10" x14ac:dyDescent="0.3">
      <c r="A9" s="52"/>
      <c r="B9" s="52"/>
      <c r="C9" s="52"/>
      <c r="D9" s="52"/>
      <c r="E9" s="52"/>
      <c r="F9" s="52"/>
      <c r="G9" s="52"/>
      <c r="I9" s="52"/>
      <c r="J9" s="53"/>
    </row>
    <row r="10" spans="1:10" x14ac:dyDescent="0.3">
      <c r="A10" s="52"/>
      <c r="B10" s="52"/>
      <c r="C10" s="52"/>
      <c r="D10" s="52"/>
      <c r="E10" s="52"/>
      <c r="F10" s="52"/>
      <c r="G10" s="52"/>
      <c r="I10" s="52"/>
      <c r="J10" s="53"/>
    </row>
    <row r="11" spans="1:10" x14ac:dyDescent="0.3">
      <c r="A11" s="52"/>
      <c r="B11" s="52"/>
      <c r="C11" s="52"/>
      <c r="D11" s="52"/>
      <c r="E11" s="52"/>
      <c r="F11" s="52"/>
      <c r="G11" s="52"/>
      <c r="I11" s="52"/>
      <c r="J11" s="53"/>
    </row>
    <row r="12" spans="1:10" x14ac:dyDescent="0.3">
      <c r="A12" s="52"/>
      <c r="B12" s="52"/>
      <c r="C12" s="52"/>
      <c r="D12" s="52"/>
      <c r="E12" s="52"/>
      <c r="F12" s="52"/>
      <c r="G12" s="52"/>
      <c r="I12" s="52"/>
      <c r="J12" s="53"/>
    </row>
    <row r="13" spans="1:10" x14ac:dyDescent="0.3">
      <c r="A13" s="52"/>
      <c r="B13" s="52"/>
      <c r="C13" s="52"/>
      <c r="D13" s="52"/>
      <c r="E13" s="52"/>
      <c r="F13" s="52"/>
      <c r="G13" s="52"/>
      <c r="I13" s="52"/>
      <c r="J13" s="53"/>
    </row>
    <row r="14" spans="1:10" x14ac:dyDescent="0.3">
      <c r="A14" s="52"/>
      <c r="B14" s="52"/>
      <c r="C14" s="52"/>
      <c r="D14" s="52"/>
      <c r="E14" s="52"/>
      <c r="F14" s="52"/>
      <c r="G14" s="52"/>
      <c r="I14" s="52"/>
      <c r="J14" s="53"/>
    </row>
    <row r="15" spans="1:10" x14ac:dyDescent="0.3">
      <c r="A15" s="52"/>
      <c r="B15" s="52"/>
      <c r="C15" s="52"/>
      <c r="D15" s="52"/>
      <c r="E15" s="52"/>
      <c r="F15" s="52"/>
      <c r="G15" s="52"/>
      <c r="I15" s="52"/>
      <c r="J15" s="53"/>
    </row>
    <row r="16" spans="1:10" x14ac:dyDescent="0.3">
      <c r="A16" s="52"/>
      <c r="B16" s="52"/>
      <c r="C16" s="52"/>
      <c r="D16" s="52"/>
      <c r="E16" s="52"/>
      <c r="F16" s="52"/>
      <c r="G16" s="52"/>
      <c r="I16" s="52"/>
      <c r="J16" s="53"/>
    </row>
    <row r="17" spans="1:10" x14ac:dyDescent="0.3">
      <c r="A17" s="52"/>
      <c r="B17" s="52"/>
      <c r="C17" s="52"/>
      <c r="D17" s="52"/>
      <c r="E17" s="52"/>
      <c r="F17" s="52"/>
      <c r="G17" s="52"/>
      <c r="I17" s="52"/>
      <c r="J17" s="53"/>
    </row>
    <row r="18" spans="1:10" x14ac:dyDescent="0.3">
      <c r="A18" s="52"/>
      <c r="B18" s="52"/>
      <c r="C18" s="52"/>
      <c r="D18" s="52"/>
      <c r="E18" s="52"/>
      <c r="F18" s="52"/>
      <c r="G18" s="52"/>
      <c r="I18" s="52"/>
      <c r="J18" s="53"/>
    </row>
    <row r="19" spans="1:10" x14ac:dyDescent="0.3">
      <c r="A19" s="52"/>
      <c r="B19" s="52"/>
      <c r="C19" s="52"/>
      <c r="D19" s="52"/>
      <c r="E19" s="52"/>
      <c r="F19" s="52"/>
      <c r="G19" s="52"/>
      <c r="I19" s="52"/>
      <c r="J19" s="53"/>
    </row>
    <row r="20" spans="1:10" x14ac:dyDescent="0.3">
      <c r="A20" s="52"/>
      <c r="B20" s="52"/>
      <c r="C20" s="52"/>
      <c r="D20" s="52"/>
      <c r="E20" s="52"/>
      <c r="F20" s="52"/>
      <c r="G20" s="52"/>
      <c r="I20" s="52"/>
      <c r="J20" s="53"/>
    </row>
    <row r="21" spans="1:10" x14ac:dyDescent="0.3">
      <c r="A21" s="52"/>
      <c r="B21" s="52"/>
      <c r="C21" s="52"/>
      <c r="D21" s="52"/>
      <c r="E21" s="52"/>
      <c r="F21" s="52"/>
      <c r="G21" s="52"/>
      <c r="I21" s="52"/>
      <c r="J21" s="53"/>
    </row>
    <row r="22" spans="1:10" x14ac:dyDescent="0.3">
      <c r="A22" s="52"/>
      <c r="B22" s="52"/>
      <c r="C22" s="52"/>
      <c r="D22" s="52"/>
      <c r="E22" s="52"/>
      <c r="F22" s="52"/>
      <c r="G22" s="52"/>
      <c r="I22" s="52"/>
      <c r="J22" s="53"/>
    </row>
    <row r="23" spans="1:10" x14ac:dyDescent="0.3">
      <c r="A23" s="52"/>
      <c r="B23" s="52"/>
      <c r="C23" s="52"/>
      <c r="D23" s="52"/>
      <c r="E23" s="52"/>
      <c r="F23" s="52"/>
      <c r="G23" s="52"/>
      <c r="I23" s="52"/>
      <c r="J23" s="53"/>
    </row>
    <row r="24" spans="1:10" x14ac:dyDescent="0.3">
      <c r="A24" s="52"/>
      <c r="B24" s="52"/>
      <c r="C24" s="52"/>
      <c r="D24" s="52"/>
      <c r="E24" s="52"/>
      <c r="F24" s="52"/>
      <c r="G24" s="52"/>
      <c r="I24" s="52"/>
      <c r="J24" s="53"/>
    </row>
    <row r="25" spans="1:10" x14ac:dyDescent="0.3">
      <c r="A25" s="52"/>
      <c r="B25" s="52"/>
      <c r="C25" s="52"/>
      <c r="D25" s="52"/>
      <c r="E25" s="52"/>
      <c r="F25" s="52"/>
      <c r="G25" s="52"/>
      <c r="I25" s="52"/>
      <c r="J25" s="53"/>
    </row>
    <row r="26" spans="1:10" x14ac:dyDescent="0.3">
      <c r="A26" s="52"/>
      <c r="B26" s="52"/>
      <c r="C26" s="52"/>
      <c r="D26" s="52"/>
      <c r="E26" s="52"/>
      <c r="F26" s="52"/>
      <c r="G26" s="52"/>
      <c r="I26" s="52"/>
      <c r="J26" s="53"/>
    </row>
    <row r="27" spans="1:10" x14ac:dyDescent="0.3">
      <c r="A27" s="52"/>
      <c r="B27" s="52"/>
      <c r="C27" s="52"/>
      <c r="D27" s="52"/>
      <c r="E27" s="52"/>
      <c r="F27" s="52"/>
      <c r="G27" s="52"/>
      <c r="I27" s="52"/>
      <c r="J27" s="53"/>
    </row>
    <row r="29" spans="1:10" x14ac:dyDescent="0.3">
      <c r="A29" s="54" t="s">
        <v>50</v>
      </c>
      <c r="B29" s="55"/>
      <c r="C29" s="56">
        <f>SUM(C3:C28)</f>
        <v>0</v>
      </c>
      <c r="D29" s="56">
        <f t="shared" ref="D29:I29" si="0">SUM(D3:D28)</f>
        <v>0</v>
      </c>
      <c r="E29" s="56">
        <f t="shared" si="0"/>
        <v>2</v>
      </c>
      <c r="F29" s="56">
        <f t="shared" si="0"/>
        <v>0</v>
      </c>
      <c r="G29" s="56">
        <f t="shared" si="0"/>
        <v>2</v>
      </c>
      <c r="I29" s="56">
        <f t="shared" si="0"/>
        <v>2</v>
      </c>
      <c r="J29" s="57" t="str">
        <f>IF(I29&gt;0, "NG", IF(I29=0,"OK",""))</f>
        <v>NG</v>
      </c>
    </row>
  </sheetData>
  <mergeCells count="2">
    <mergeCell ref="A1:J1"/>
    <mergeCell ref="A29:B29"/>
  </mergeCells>
  <phoneticPr fontId="3" type="noConversion"/>
  <dataValidations count="1">
    <dataValidation type="whole" allowBlank="1" showInputMessage="1" showErrorMessage="1" sqref="C3:F3">
      <formula1>0</formula1>
      <formula2>999999</formula2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"/>
  <sheetViews>
    <sheetView workbookViewId="0">
      <selection sqref="A1:E1"/>
    </sheetView>
  </sheetViews>
  <sheetFormatPr defaultRowHeight="16.5" x14ac:dyDescent="0.3"/>
  <cols>
    <col min="1" max="1" width="21.625" bestFit="1" customWidth="1"/>
    <col min="8" max="8" width="2" customWidth="1"/>
    <col min="9" max="9" width="16.5" bestFit="1" customWidth="1"/>
    <col min="10" max="10" width="11.375" style="58" customWidth="1"/>
  </cols>
  <sheetData>
    <row r="1" spans="1:10" ht="63.75" customHeight="1" thickBot="1" x14ac:dyDescent="0.35">
      <c r="A1" s="1" t="s">
        <v>51</v>
      </c>
      <c r="B1" s="2"/>
      <c r="C1" s="2"/>
      <c r="D1" s="2"/>
      <c r="E1" s="2"/>
      <c r="F1" s="2"/>
      <c r="G1" s="2"/>
      <c r="H1" s="2"/>
      <c r="I1" s="2"/>
      <c r="J1" s="3"/>
    </row>
    <row r="2" spans="1:10" ht="33.75" thickBot="1" x14ac:dyDescent="0.35">
      <c r="A2" s="41" t="s">
        <v>38</v>
      </c>
      <c r="B2" s="42" t="s">
        <v>52</v>
      </c>
      <c r="C2" s="42" t="s">
        <v>40</v>
      </c>
      <c r="D2" s="42" t="s">
        <v>53</v>
      </c>
      <c r="E2" s="42" t="s">
        <v>54</v>
      </c>
      <c r="F2" s="42" t="s">
        <v>55</v>
      </c>
      <c r="G2" s="43" t="s">
        <v>44</v>
      </c>
      <c r="H2" s="44"/>
      <c r="I2" s="45" t="s">
        <v>56</v>
      </c>
      <c r="J2" s="43" t="s">
        <v>46</v>
      </c>
    </row>
    <row r="3" spans="1:10" x14ac:dyDescent="0.3">
      <c r="A3" s="46" t="s">
        <v>57</v>
      </c>
      <c r="B3" s="46" t="s">
        <v>58</v>
      </c>
      <c r="C3" s="46">
        <v>0</v>
      </c>
      <c r="D3" s="46">
        <v>0</v>
      </c>
      <c r="E3" s="46">
        <v>0</v>
      </c>
      <c r="F3" s="46">
        <v>0</v>
      </c>
      <c r="G3" s="46">
        <f>SUM(C3:F3)</f>
        <v>0</v>
      </c>
      <c r="H3" s="47"/>
      <c r="I3" s="46">
        <f>E3+F3</f>
        <v>0</v>
      </c>
      <c r="J3" s="48" t="str">
        <f>IF(I3&gt;0, "Fail", IF(I3=0,"Pass",""))</f>
        <v>Pass</v>
      </c>
    </row>
    <row r="4" spans="1:10" x14ac:dyDescent="0.3">
      <c r="A4" s="49" t="s">
        <v>49</v>
      </c>
      <c r="B4" s="50">
        <v>5.48</v>
      </c>
      <c r="C4" s="49">
        <v>0</v>
      </c>
      <c r="D4" s="49">
        <v>0</v>
      </c>
      <c r="E4" s="49">
        <v>0</v>
      </c>
      <c r="F4" s="49">
        <v>0</v>
      </c>
      <c r="G4" s="49">
        <f>SUM(C4:F4)</f>
        <v>0</v>
      </c>
      <c r="H4" s="47"/>
      <c r="I4" s="49">
        <f>E4+F4</f>
        <v>0</v>
      </c>
      <c r="J4" s="51" t="str">
        <f>IF(I4&gt;0, "Fail", IF(I4=0,"Pass",""))</f>
        <v>Pass</v>
      </c>
    </row>
    <row r="5" spans="1:10" x14ac:dyDescent="0.3">
      <c r="A5" s="52"/>
      <c r="B5" s="52"/>
      <c r="C5" s="52"/>
      <c r="D5" s="52"/>
      <c r="E5" s="52"/>
      <c r="F5" s="52"/>
      <c r="G5" s="52"/>
      <c r="I5" s="52"/>
      <c r="J5" s="53"/>
    </row>
    <row r="6" spans="1:10" x14ac:dyDescent="0.3">
      <c r="A6" s="52"/>
      <c r="B6" s="52"/>
      <c r="C6" s="52"/>
      <c r="D6" s="52"/>
      <c r="E6" s="52"/>
      <c r="F6" s="52"/>
      <c r="G6" s="52"/>
      <c r="I6" s="52"/>
      <c r="J6" s="53"/>
    </row>
    <row r="7" spans="1:10" x14ac:dyDescent="0.3">
      <c r="A7" s="52"/>
      <c r="B7" s="52"/>
      <c r="C7" s="52"/>
      <c r="D7" s="52"/>
      <c r="E7" s="52"/>
      <c r="F7" s="52"/>
      <c r="G7" s="52"/>
      <c r="I7" s="52"/>
      <c r="J7" s="53"/>
    </row>
    <row r="8" spans="1:10" x14ac:dyDescent="0.3">
      <c r="A8" s="52"/>
      <c r="B8" s="52"/>
      <c r="C8" s="52"/>
      <c r="D8" s="52"/>
      <c r="E8" s="52"/>
      <c r="F8" s="52"/>
      <c r="G8" s="52"/>
      <c r="I8" s="52"/>
      <c r="J8" s="53"/>
    </row>
    <row r="9" spans="1:10" x14ac:dyDescent="0.3">
      <c r="A9" s="52"/>
      <c r="B9" s="52"/>
      <c r="C9" s="52"/>
      <c r="D9" s="52"/>
      <c r="E9" s="52"/>
      <c r="F9" s="52"/>
      <c r="G9" s="52"/>
      <c r="I9" s="52"/>
      <c r="J9" s="53"/>
    </row>
    <row r="10" spans="1:10" x14ac:dyDescent="0.3">
      <c r="A10" s="52"/>
      <c r="B10" s="52"/>
      <c r="C10" s="52"/>
      <c r="D10" s="52"/>
      <c r="E10" s="52"/>
      <c r="F10" s="52"/>
      <c r="G10" s="52"/>
      <c r="I10" s="52"/>
      <c r="J10" s="53"/>
    </row>
    <row r="11" spans="1:10" x14ac:dyDescent="0.3">
      <c r="A11" s="52"/>
      <c r="B11" s="52"/>
      <c r="C11" s="52"/>
      <c r="D11" s="52"/>
      <c r="E11" s="52"/>
      <c r="F11" s="52"/>
      <c r="G11" s="52"/>
      <c r="I11" s="52"/>
      <c r="J11" s="53"/>
    </row>
    <row r="12" spans="1:10" x14ac:dyDescent="0.3">
      <c r="A12" s="52"/>
      <c r="B12" s="52"/>
      <c r="C12" s="52"/>
      <c r="D12" s="52"/>
      <c r="E12" s="52"/>
      <c r="F12" s="52"/>
      <c r="G12" s="52"/>
      <c r="I12" s="52"/>
      <c r="J12" s="53"/>
    </row>
    <row r="13" spans="1:10" x14ac:dyDescent="0.3">
      <c r="A13" s="52"/>
      <c r="B13" s="52"/>
      <c r="C13" s="52"/>
      <c r="D13" s="52"/>
      <c r="E13" s="52"/>
      <c r="F13" s="52"/>
      <c r="G13" s="52"/>
      <c r="I13" s="52"/>
      <c r="J13" s="53"/>
    </row>
    <row r="14" spans="1:10" x14ac:dyDescent="0.3">
      <c r="A14" s="52"/>
      <c r="B14" s="52"/>
      <c r="C14" s="52"/>
      <c r="D14" s="52"/>
      <c r="E14" s="52"/>
      <c r="F14" s="52"/>
      <c r="G14" s="52"/>
      <c r="I14" s="52"/>
      <c r="J14" s="53"/>
    </row>
    <row r="15" spans="1:10" x14ac:dyDescent="0.3">
      <c r="A15" s="52"/>
      <c r="B15" s="52"/>
      <c r="C15" s="52"/>
      <c r="D15" s="52"/>
      <c r="E15" s="52"/>
      <c r="F15" s="52"/>
      <c r="G15" s="52"/>
      <c r="I15" s="52"/>
      <c r="J15" s="53"/>
    </row>
    <row r="16" spans="1:10" x14ac:dyDescent="0.3">
      <c r="A16" s="52"/>
      <c r="B16" s="52"/>
      <c r="C16" s="52"/>
      <c r="D16" s="52"/>
      <c r="E16" s="52"/>
      <c r="F16" s="52"/>
      <c r="G16" s="52"/>
      <c r="I16" s="52"/>
      <c r="J16" s="53"/>
    </row>
    <row r="17" spans="1:10" x14ac:dyDescent="0.3">
      <c r="A17" s="52"/>
      <c r="B17" s="52"/>
      <c r="C17" s="52"/>
      <c r="D17" s="52"/>
      <c r="E17" s="52"/>
      <c r="F17" s="52"/>
      <c r="G17" s="52"/>
      <c r="I17" s="52"/>
      <c r="J17" s="53"/>
    </row>
    <row r="18" spans="1:10" x14ac:dyDescent="0.3">
      <c r="A18" s="52"/>
      <c r="B18" s="52"/>
      <c r="C18" s="52"/>
      <c r="D18" s="52"/>
      <c r="E18" s="52"/>
      <c r="F18" s="52"/>
      <c r="G18" s="52"/>
      <c r="I18" s="52"/>
      <c r="J18" s="53"/>
    </row>
    <row r="19" spans="1:10" x14ac:dyDescent="0.3">
      <c r="A19" s="52"/>
      <c r="B19" s="52"/>
      <c r="C19" s="52"/>
      <c r="D19" s="52"/>
      <c r="E19" s="52"/>
      <c r="F19" s="52"/>
      <c r="G19" s="52"/>
      <c r="I19" s="52"/>
      <c r="J19" s="53"/>
    </row>
    <row r="20" spans="1:10" x14ac:dyDescent="0.3">
      <c r="A20" s="52"/>
      <c r="B20" s="52"/>
      <c r="C20" s="52"/>
      <c r="D20" s="52"/>
      <c r="E20" s="52"/>
      <c r="F20" s="52"/>
      <c r="G20" s="52"/>
      <c r="I20" s="52"/>
      <c r="J20" s="53"/>
    </row>
    <row r="21" spans="1:10" x14ac:dyDescent="0.3">
      <c r="A21" s="52"/>
      <c r="B21" s="52"/>
      <c r="C21" s="52"/>
      <c r="D21" s="52"/>
      <c r="E21" s="52"/>
      <c r="F21" s="52"/>
      <c r="G21" s="52"/>
      <c r="I21" s="52"/>
      <c r="J21" s="53"/>
    </row>
    <row r="22" spans="1:10" x14ac:dyDescent="0.3">
      <c r="A22" s="52"/>
      <c r="B22" s="52"/>
      <c r="C22" s="52"/>
      <c r="D22" s="52"/>
      <c r="E22" s="52"/>
      <c r="F22" s="52"/>
      <c r="G22" s="52"/>
      <c r="I22" s="52"/>
      <c r="J22" s="53"/>
    </row>
    <row r="23" spans="1:10" x14ac:dyDescent="0.3">
      <c r="A23" s="52"/>
      <c r="B23" s="52"/>
      <c r="C23" s="52"/>
      <c r="D23" s="52"/>
      <c r="E23" s="52"/>
      <c r="F23" s="52"/>
      <c r="G23" s="52"/>
      <c r="I23" s="52"/>
      <c r="J23" s="53"/>
    </row>
    <row r="24" spans="1:10" x14ac:dyDescent="0.3">
      <c r="A24" s="52"/>
      <c r="B24" s="52"/>
      <c r="C24" s="52"/>
      <c r="D24" s="52"/>
      <c r="E24" s="52"/>
      <c r="F24" s="52"/>
      <c r="G24" s="52"/>
      <c r="I24" s="52"/>
      <c r="J24" s="53"/>
    </row>
    <row r="25" spans="1:10" x14ac:dyDescent="0.3">
      <c r="A25" s="52"/>
      <c r="B25" s="52"/>
      <c r="C25" s="52"/>
      <c r="D25" s="52"/>
      <c r="E25" s="52"/>
      <c r="F25" s="52"/>
      <c r="G25" s="52"/>
      <c r="I25" s="52"/>
      <c r="J25" s="53"/>
    </row>
    <row r="26" spans="1:10" x14ac:dyDescent="0.3">
      <c r="A26" s="52"/>
      <c r="B26" s="52"/>
      <c r="C26" s="52"/>
      <c r="D26" s="52"/>
      <c r="E26" s="52"/>
      <c r="F26" s="52"/>
      <c r="G26" s="52"/>
      <c r="I26" s="52"/>
      <c r="J26" s="53"/>
    </row>
    <row r="27" spans="1:10" x14ac:dyDescent="0.3">
      <c r="A27" s="52"/>
      <c r="B27" s="52"/>
      <c r="C27" s="52"/>
      <c r="D27" s="52"/>
      <c r="E27" s="52"/>
      <c r="F27" s="52"/>
      <c r="G27" s="52"/>
      <c r="I27" s="52"/>
      <c r="J27" s="53"/>
    </row>
    <row r="29" spans="1:10" x14ac:dyDescent="0.3">
      <c r="A29" s="54" t="s">
        <v>44</v>
      </c>
      <c r="B29" s="55"/>
      <c r="C29" s="56">
        <f>SUM(C3:C28)</f>
        <v>0</v>
      </c>
      <c r="D29" s="56">
        <f t="shared" ref="D29:I29" si="0">SUM(D3:D28)</f>
        <v>0</v>
      </c>
      <c r="E29" s="56">
        <f t="shared" si="0"/>
        <v>0</v>
      </c>
      <c r="F29" s="56">
        <f t="shared" si="0"/>
        <v>0</v>
      </c>
      <c r="G29" s="56">
        <f t="shared" si="0"/>
        <v>0</v>
      </c>
      <c r="I29" s="56">
        <f t="shared" si="0"/>
        <v>0</v>
      </c>
      <c r="J29" s="57" t="str">
        <f>IF(I29&gt;0, "NG", IF(I29=0,"OK",""))</f>
        <v>OK</v>
      </c>
    </row>
  </sheetData>
  <mergeCells count="2">
    <mergeCell ref="A1:J1"/>
    <mergeCell ref="A29:B29"/>
  </mergeCells>
  <phoneticPr fontId="3" type="noConversion"/>
  <dataValidations count="1">
    <dataValidation type="whole" allowBlank="1" showInputMessage="1" showErrorMessage="1" sqref="C3:F3">
      <formula1>0</formula1>
      <formula2>999999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2"/>
  <sheetViews>
    <sheetView zoomScale="85" zoomScaleNormal="85" workbookViewId="0">
      <selection sqref="A1:E1"/>
    </sheetView>
  </sheetViews>
  <sheetFormatPr defaultRowHeight="16.5" x14ac:dyDescent="0.3"/>
  <cols>
    <col min="1" max="1" width="11.125" bestFit="1" customWidth="1"/>
    <col min="3" max="3" width="17.125" customWidth="1"/>
    <col min="4" max="4" width="19.125" bestFit="1" customWidth="1"/>
    <col min="5" max="5" width="12.375" bestFit="1" customWidth="1"/>
    <col min="6" max="6" width="64.625" customWidth="1"/>
    <col min="7" max="7" width="52.5" customWidth="1"/>
    <col min="8" max="8" width="23.5" style="58" customWidth="1"/>
    <col min="9" max="9" width="29.5" customWidth="1"/>
  </cols>
  <sheetData>
    <row r="1" spans="1:9" ht="50.25" customHeight="1" thickBot="1" x14ac:dyDescent="0.35">
      <c r="A1" s="1" t="s">
        <v>59</v>
      </c>
      <c r="B1" s="2"/>
      <c r="C1" s="2"/>
      <c r="D1" s="2"/>
      <c r="E1" s="2"/>
      <c r="F1" s="2"/>
      <c r="G1" s="2"/>
      <c r="H1" s="2"/>
      <c r="I1" s="2"/>
    </row>
    <row r="2" spans="1:9" ht="17.25" thickBot="1" x14ac:dyDescent="0.35">
      <c r="A2" s="59" t="s">
        <v>60</v>
      </c>
      <c r="B2" s="60" t="s">
        <v>39</v>
      </c>
      <c r="C2" s="60" t="s">
        <v>61</v>
      </c>
      <c r="D2" s="60" t="s">
        <v>62</v>
      </c>
      <c r="E2" s="60" t="s">
        <v>63</v>
      </c>
      <c r="F2" s="60" t="s">
        <v>64</v>
      </c>
      <c r="G2" s="60" t="s">
        <v>65</v>
      </c>
      <c r="H2" s="61" t="s">
        <v>66</v>
      </c>
      <c r="I2" s="62" t="s">
        <v>67</v>
      </c>
    </row>
    <row r="3" spans="1:9" ht="49.5" x14ac:dyDescent="0.3">
      <c r="A3" s="63" t="s">
        <v>47</v>
      </c>
      <c r="B3" s="64" t="s">
        <v>48</v>
      </c>
      <c r="C3" s="64" t="s">
        <v>68</v>
      </c>
      <c r="D3" s="64">
        <v>7.5</v>
      </c>
      <c r="E3" s="64" t="s">
        <v>42</v>
      </c>
      <c r="F3" s="65" t="s">
        <v>69</v>
      </c>
      <c r="G3" s="66" t="s">
        <v>70</v>
      </c>
      <c r="H3" s="67" t="s">
        <v>71</v>
      </c>
      <c r="I3" s="68"/>
    </row>
    <row r="4" spans="1:9" x14ac:dyDescent="0.3">
      <c r="A4" s="52"/>
      <c r="B4" s="52"/>
      <c r="C4" s="52"/>
      <c r="D4" s="52"/>
      <c r="E4" s="52"/>
      <c r="F4" s="52"/>
      <c r="G4" s="52"/>
      <c r="H4" s="53"/>
      <c r="I4" s="52"/>
    </row>
    <row r="5" spans="1:9" x14ac:dyDescent="0.3">
      <c r="A5" s="52"/>
      <c r="B5" s="52"/>
      <c r="C5" s="52"/>
      <c r="D5" s="52"/>
      <c r="E5" s="52"/>
      <c r="F5" s="52"/>
      <c r="G5" s="52"/>
      <c r="H5" s="53"/>
      <c r="I5" s="52"/>
    </row>
    <row r="6" spans="1:9" x14ac:dyDescent="0.3">
      <c r="A6" s="52"/>
      <c r="B6" s="52"/>
      <c r="C6" s="52"/>
      <c r="D6" s="52"/>
      <c r="E6" s="52"/>
      <c r="F6" s="52"/>
      <c r="G6" s="52"/>
      <c r="H6" s="53"/>
      <c r="I6" s="52"/>
    </row>
    <row r="7" spans="1:9" x14ac:dyDescent="0.3">
      <c r="A7" s="52"/>
      <c r="B7" s="52"/>
      <c r="C7" s="52"/>
      <c r="D7" s="52"/>
      <c r="E7" s="52"/>
      <c r="F7" s="52"/>
      <c r="G7" s="52"/>
      <c r="H7" s="53"/>
      <c r="I7" s="52"/>
    </row>
    <row r="8" spans="1:9" x14ac:dyDescent="0.3">
      <c r="A8" s="52"/>
      <c r="B8" s="52"/>
      <c r="C8" s="52"/>
      <c r="D8" s="52"/>
      <c r="E8" s="52"/>
      <c r="F8" s="52"/>
      <c r="G8" s="52"/>
      <c r="H8" s="53"/>
      <c r="I8" s="52"/>
    </row>
    <row r="9" spans="1:9" x14ac:dyDescent="0.3">
      <c r="A9" s="52"/>
      <c r="B9" s="52"/>
      <c r="C9" s="52"/>
      <c r="D9" s="52"/>
      <c r="E9" s="52"/>
      <c r="F9" s="52"/>
      <c r="G9" s="52"/>
      <c r="H9" s="53"/>
      <c r="I9" s="52"/>
    </row>
    <row r="10" spans="1:9" x14ac:dyDescent="0.3">
      <c r="A10" s="52"/>
      <c r="B10" s="52"/>
      <c r="C10" s="52"/>
      <c r="D10" s="52"/>
      <c r="E10" s="52"/>
      <c r="F10" s="52"/>
      <c r="G10" s="52"/>
      <c r="H10" s="53"/>
      <c r="I10" s="52"/>
    </row>
    <row r="11" spans="1:9" x14ac:dyDescent="0.3">
      <c r="A11" s="52"/>
      <c r="B11" s="52"/>
      <c r="C11" s="52"/>
      <c r="D11" s="52"/>
      <c r="E11" s="52"/>
      <c r="F11" s="52"/>
      <c r="G11" s="52"/>
      <c r="H11" s="53"/>
      <c r="I11" s="52"/>
    </row>
    <row r="12" spans="1:9" x14ac:dyDescent="0.3">
      <c r="A12" s="52"/>
      <c r="B12" s="52"/>
      <c r="C12" s="52"/>
      <c r="D12" s="52"/>
      <c r="E12" s="52"/>
      <c r="F12" s="52"/>
      <c r="G12" s="52"/>
      <c r="H12" s="53"/>
      <c r="I12" s="52"/>
    </row>
    <row r="13" spans="1:9" x14ac:dyDescent="0.3">
      <c r="A13" s="52"/>
      <c r="B13" s="52"/>
      <c r="C13" s="52"/>
      <c r="D13" s="52"/>
      <c r="E13" s="52"/>
      <c r="F13" s="52"/>
      <c r="G13" s="52"/>
      <c r="H13" s="53"/>
      <c r="I13" s="52"/>
    </row>
    <row r="14" spans="1:9" x14ac:dyDescent="0.3">
      <c r="A14" s="52"/>
      <c r="B14" s="52"/>
      <c r="C14" s="52"/>
      <c r="D14" s="52"/>
      <c r="E14" s="52"/>
      <c r="F14" s="52"/>
      <c r="G14" s="52"/>
      <c r="H14" s="53"/>
      <c r="I14" s="52"/>
    </row>
    <row r="15" spans="1:9" x14ac:dyDescent="0.3">
      <c r="A15" s="52"/>
      <c r="B15" s="52"/>
      <c r="C15" s="52"/>
      <c r="D15" s="52"/>
      <c r="E15" s="52"/>
      <c r="F15" s="52"/>
      <c r="G15" s="52"/>
      <c r="H15" s="53"/>
      <c r="I15" s="52"/>
    </row>
    <row r="16" spans="1:9" x14ac:dyDescent="0.3">
      <c r="A16" s="52"/>
      <c r="B16" s="52"/>
      <c r="C16" s="52"/>
      <c r="D16" s="52"/>
      <c r="E16" s="52"/>
      <c r="F16" s="52"/>
      <c r="G16" s="52"/>
      <c r="H16" s="53"/>
      <c r="I16" s="52"/>
    </row>
    <row r="17" spans="1:9" x14ac:dyDescent="0.3">
      <c r="A17" s="52"/>
      <c r="B17" s="52"/>
      <c r="C17" s="52"/>
      <c r="D17" s="52"/>
      <c r="E17" s="52"/>
      <c r="F17" s="52"/>
      <c r="G17" s="52"/>
      <c r="H17" s="53"/>
      <c r="I17" s="52"/>
    </row>
    <row r="18" spans="1:9" x14ac:dyDescent="0.3">
      <c r="A18" s="52"/>
      <c r="B18" s="52"/>
      <c r="C18" s="52"/>
      <c r="D18" s="52"/>
      <c r="E18" s="52"/>
      <c r="F18" s="52"/>
      <c r="G18" s="52"/>
      <c r="H18" s="53"/>
      <c r="I18" s="52"/>
    </row>
    <row r="19" spans="1:9" x14ac:dyDescent="0.3">
      <c r="A19" s="52"/>
      <c r="B19" s="52"/>
      <c r="C19" s="52"/>
      <c r="D19" s="52"/>
      <c r="E19" s="52"/>
      <c r="F19" s="52"/>
      <c r="G19" s="52"/>
      <c r="H19" s="53"/>
      <c r="I19" s="52"/>
    </row>
    <row r="20" spans="1:9" x14ac:dyDescent="0.3">
      <c r="A20" s="52"/>
      <c r="B20" s="52"/>
      <c r="C20" s="52"/>
      <c r="D20" s="52"/>
      <c r="E20" s="52"/>
      <c r="F20" s="52"/>
      <c r="G20" s="52"/>
      <c r="H20" s="53"/>
      <c r="I20" s="52"/>
    </row>
    <row r="21" spans="1:9" x14ac:dyDescent="0.3">
      <c r="A21" s="52"/>
      <c r="B21" s="52"/>
      <c r="C21" s="52"/>
      <c r="D21" s="52"/>
      <c r="E21" s="52"/>
      <c r="F21" s="52"/>
      <c r="G21" s="52"/>
      <c r="H21" s="53"/>
      <c r="I21" s="52"/>
    </row>
    <row r="22" spans="1:9" x14ac:dyDescent="0.3">
      <c r="A22" s="52"/>
      <c r="B22" s="52"/>
      <c r="C22" s="52"/>
      <c r="D22" s="52"/>
      <c r="E22" s="52"/>
      <c r="F22" s="52"/>
      <c r="G22" s="52"/>
      <c r="H22" s="53"/>
      <c r="I22" s="52"/>
    </row>
    <row r="23" spans="1:9" x14ac:dyDescent="0.3">
      <c r="A23" s="52"/>
      <c r="B23" s="52"/>
      <c r="C23" s="52"/>
      <c r="D23" s="52"/>
      <c r="E23" s="52"/>
      <c r="F23" s="52"/>
      <c r="G23" s="52"/>
      <c r="H23" s="53"/>
      <c r="I23" s="52"/>
    </row>
    <row r="24" spans="1:9" x14ac:dyDescent="0.3">
      <c r="A24" s="52"/>
      <c r="B24" s="52"/>
      <c r="C24" s="52"/>
      <c r="D24" s="52"/>
      <c r="E24" s="52"/>
      <c r="F24" s="52"/>
      <c r="G24" s="52"/>
      <c r="H24" s="53"/>
      <c r="I24" s="52"/>
    </row>
    <row r="25" spans="1:9" x14ac:dyDescent="0.3">
      <c r="A25" s="52"/>
      <c r="B25" s="52"/>
      <c r="C25" s="52"/>
      <c r="D25" s="52"/>
      <c r="E25" s="52"/>
      <c r="F25" s="52"/>
      <c r="G25" s="52"/>
      <c r="H25" s="53"/>
      <c r="I25" s="52"/>
    </row>
    <row r="26" spans="1:9" x14ac:dyDescent="0.3">
      <c r="A26" s="52"/>
      <c r="B26" s="52"/>
      <c r="C26" s="52"/>
      <c r="D26" s="52"/>
      <c r="E26" s="52"/>
      <c r="F26" s="52"/>
      <c r="G26" s="52"/>
      <c r="H26" s="53"/>
      <c r="I26" s="52"/>
    </row>
    <row r="27" spans="1:9" x14ac:dyDescent="0.3">
      <c r="A27" s="52"/>
      <c r="B27" s="52"/>
      <c r="C27" s="52"/>
      <c r="D27" s="52"/>
      <c r="E27" s="52"/>
      <c r="F27" s="52"/>
      <c r="G27" s="52"/>
      <c r="H27" s="53"/>
      <c r="I27" s="52"/>
    </row>
    <row r="28" spans="1:9" x14ac:dyDescent="0.3">
      <c r="A28" s="52"/>
      <c r="B28" s="52"/>
      <c r="C28" s="52"/>
      <c r="D28" s="52"/>
      <c r="E28" s="52"/>
      <c r="F28" s="52"/>
      <c r="G28" s="52"/>
      <c r="H28" s="53"/>
      <c r="I28" s="52"/>
    </row>
    <row r="29" spans="1:9" x14ac:dyDescent="0.3">
      <c r="A29" s="52"/>
      <c r="B29" s="52"/>
      <c r="C29" s="52"/>
      <c r="D29" s="52"/>
      <c r="E29" s="52"/>
      <c r="F29" s="52"/>
      <c r="G29" s="52"/>
      <c r="H29" s="53"/>
      <c r="I29" s="52"/>
    </row>
    <row r="30" spans="1:9" x14ac:dyDescent="0.3">
      <c r="A30" s="52"/>
      <c r="B30" s="52"/>
      <c r="C30" s="52"/>
      <c r="D30" s="52"/>
      <c r="E30" s="52"/>
      <c r="F30" s="52"/>
      <c r="G30" s="52"/>
      <c r="H30" s="53"/>
      <c r="I30" s="52"/>
    </row>
    <row r="31" spans="1:9" x14ac:dyDescent="0.3">
      <c r="A31" s="52"/>
      <c r="B31" s="52"/>
      <c r="C31" s="52"/>
      <c r="D31" s="52"/>
      <c r="E31" s="52"/>
      <c r="F31" s="52"/>
      <c r="G31" s="52"/>
      <c r="H31" s="53"/>
      <c r="I31" s="52"/>
    </row>
    <row r="32" spans="1:9" x14ac:dyDescent="0.3">
      <c r="A32" s="52"/>
      <c r="B32" s="52"/>
      <c r="C32" s="52"/>
      <c r="D32" s="52"/>
      <c r="E32" s="52"/>
      <c r="F32" s="52"/>
      <c r="G32" s="52"/>
      <c r="H32" s="53"/>
      <c r="I32" s="52"/>
    </row>
  </sheetData>
  <mergeCells count="1">
    <mergeCell ref="A1:I1"/>
  </mergeCells>
  <phoneticPr fontId="3" type="noConversion"/>
  <dataValidations count="1">
    <dataValidation type="list" allowBlank="1" showInputMessage="1" showErrorMessage="1" sqref="H1:H1048576">
      <formula1>"Patched, Justified, Risk Accepted, N/A"</formula1>
    </dataValidation>
  </dataValidations>
  <hyperlinks>
    <hyperlink ref="G3" r:id="rId1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sqref="A1:E1"/>
    </sheetView>
  </sheetViews>
  <sheetFormatPr defaultRowHeight="16.5" x14ac:dyDescent="0.3"/>
  <sheetData/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Cover</vt:lpstr>
      <vt:lpstr>Summary (Before Fix)</vt:lpstr>
      <vt:lpstr>Summary (After Fix)</vt:lpstr>
      <vt:lpstr>Details</vt:lpstr>
      <vt:lpstr>Appendix. Software Architecture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2025-03-26T04:42:30Z</dcterms:created>
  <dcterms:modified xsi:type="dcterms:W3CDTF">2025-03-26T04:44:05Z</dcterms:modified>
</cp:coreProperties>
</file>