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esktop\PROJECT\Gitlab\HMC\hkmc_ptc_heater\4. ES\1. 오픈소스취약점\Spec\"/>
    </mc:Choice>
  </mc:AlternateContent>
  <bookViews>
    <workbookView xWindow="0" yWindow="0" windowWidth="21570" windowHeight="8040"/>
  </bookViews>
  <sheets>
    <sheet name="Cover" sheetId="2" r:id="rId1"/>
    <sheet name="Summary (Before Fix)" sheetId="3" r:id="rId2"/>
    <sheet name="Summary (After Fix)" sheetId="4" r:id="rId3"/>
    <sheet name="Details (after applying patch)" sheetId="5" r:id="rId4"/>
    <sheet name="Appendix 1. Architecture" sheetId="6" r:id="rId5"/>
    <sheet name="Appendix 2. Test Environment" sheetId="7" r:id="rId6"/>
  </sheets>
  <definedNames>
    <definedName name="_xlnm._FilterDatabase" localSheetId="2" hidden="1">'Summary (After Fix)'!$I$2:$J$2</definedName>
    <definedName name="_xlnm._FilterDatabase" localSheetId="1" hidden="1">'Summary (Before Fix)'!$I$2:$J$2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5" l="1"/>
  <c r="E5" i="5"/>
  <c r="E4" i="5"/>
  <c r="E3" i="5"/>
  <c r="G45" i="4"/>
  <c r="F45" i="4"/>
  <c r="E45" i="4"/>
  <c r="D45" i="4"/>
  <c r="C45" i="4"/>
  <c r="I43" i="4"/>
  <c r="J43" i="4" s="1"/>
  <c r="I42" i="4"/>
  <c r="J42" i="4" s="1"/>
  <c r="J41" i="4"/>
  <c r="I41" i="4"/>
  <c r="I40" i="4"/>
  <c r="J40" i="4" s="1"/>
  <c r="J39" i="4"/>
  <c r="I39" i="4"/>
  <c r="I38" i="4"/>
  <c r="J38" i="4" s="1"/>
  <c r="I37" i="4"/>
  <c r="J37" i="4" s="1"/>
  <c r="J36" i="4"/>
  <c r="I36" i="4"/>
  <c r="I35" i="4"/>
  <c r="J35" i="4" s="1"/>
  <c r="I34" i="4"/>
  <c r="J34" i="4" s="1"/>
  <c r="J33" i="4"/>
  <c r="I33" i="4"/>
  <c r="I32" i="4"/>
  <c r="J32" i="4" s="1"/>
  <c r="J31" i="4"/>
  <c r="I31" i="4"/>
  <c r="I30" i="4"/>
  <c r="J30" i="4" s="1"/>
  <c r="I29" i="4"/>
  <c r="J29" i="4" s="1"/>
  <c r="J28" i="4"/>
  <c r="I28" i="4"/>
  <c r="I27" i="4"/>
  <c r="J27" i="4" s="1"/>
  <c r="I26" i="4"/>
  <c r="J26" i="4" s="1"/>
  <c r="J25" i="4"/>
  <c r="I25" i="4"/>
  <c r="I24" i="4"/>
  <c r="J24" i="4" s="1"/>
  <c r="J23" i="4"/>
  <c r="I23" i="4"/>
  <c r="I22" i="4"/>
  <c r="J22" i="4" s="1"/>
  <c r="I21" i="4"/>
  <c r="J21" i="4" s="1"/>
  <c r="J20" i="4"/>
  <c r="I20" i="4"/>
  <c r="I19" i="4"/>
  <c r="J19" i="4" s="1"/>
  <c r="I18" i="4"/>
  <c r="J18" i="4" s="1"/>
  <c r="J17" i="4"/>
  <c r="I17" i="4"/>
  <c r="I16" i="4"/>
  <c r="J16" i="4" s="1"/>
  <c r="J15" i="4"/>
  <c r="I15" i="4"/>
  <c r="I14" i="4"/>
  <c r="I45" i="4" s="1"/>
  <c r="J45" i="4" s="1"/>
  <c r="I13" i="4"/>
  <c r="J13" i="4" s="1"/>
  <c r="J12" i="4"/>
  <c r="I12" i="4"/>
  <c r="I11" i="4"/>
  <c r="J11" i="4" s="1"/>
  <c r="I10" i="4"/>
  <c r="J10" i="4" s="1"/>
  <c r="J9" i="4"/>
  <c r="I9" i="4"/>
  <c r="I8" i="4"/>
  <c r="J8" i="4" s="1"/>
  <c r="J7" i="4"/>
  <c r="I7" i="4"/>
  <c r="I6" i="4"/>
  <c r="J6" i="4" s="1"/>
  <c r="I5" i="4"/>
  <c r="J5" i="4" s="1"/>
  <c r="J4" i="4"/>
  <c r="I4" i="4"/>
  <c r="I3" i="4"/>
  <c r="J3" i="4" s="1"/>
  <c r="I45" i="3"/>
  <c r="J45" i="3" s="1"/>
  <c r="G45" i="3"/>
  <c r="F45" i="3"/>
  <c r="E45" i="3"/>
  <c r="D45" i="3"/>
  <c r="C45"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B12" i="2"/>
  <c r="J14" i="4" l="1"/>
</calcChain>
</file>

<file path=xl/comments1.xml><?xml version="1.0" encoding="utf-8"?>
<comments xmlns="http://schemas.openxmlformats.org/spreadsheetml/2006/main">
  <authors>
    <author>강성용</author>
    <author>tc={0A07EB2C-87BE-498B-83B9-AD8BF6A874BF}</author>
    <author>tc={295E5EA3-7A73-4B00-B721-30E0C3526032}</author>
    <author>tc={B1CE4F10-2396-4594-AA9E-4FBC934B456F}</author>
    <author>tc={D1D31D28-3CE9-4374-9C5F-FCD387BE7A89}</author>
    <author>tc={5E30BFC6-A36D-43BD-BD97-B7A185C3FA33}</author>
    <author>tc={3EFDB3F7-80E5-448B-877D-1A578730851E}</author>
    <author>tc={EE894113-EBB9-4DC2-AEC1-861D1DE28825}</author>
    <author>tc={D1FC6D21-55D8-4064-B71B-E0D6DBDED49C}</author>
  </authors>
  <commentList>
    <comment ref="A1" authorId="0" shapeId="0">
      <text>
        <r>
          <rPr>
            <b/>
            <sz val="9"/>
            <color indexed="81"/>
            <rFont val="돋움"/>
            <family val="3"/>
            <charset val="129"/>
          </rPr>
          <t>강성용</t>
        </r>
        <r>
          <rPr>
            <b/>
            <sz val="9"/>
            <color indexed="81"/>
            <rFont val="Tahoma"/>
            <family val="2"/>
          </rPr>
          <t>:</t>
        </r>
        <r>
          <rPr>
            <sz val="9"/>
            <color indexed="81"/>
            <rFont val="Tahoma"/>
            <family val="2"/>
          </rPr>
          <t xml:space="preserve">
If the controller is composed of a number of chipsets (MCU, AP, VPU, etc.), submit a report for each chipset or separate sheets to prepare each chipset.</t>
        </r>
      </text>
    </comment>
    <comment ref="E4" authorId="0"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Tahoma"/>
            <family val="2"/>
          </rPr>
          <t>The firmware version shall be based on the controller integrated firmware version. (Default)
If the version for each development area is distinguishable (or necessary), the firmware version for each area must be additionally written.
Firmware must be prepared/managed for verification in the same environment in the event of future security issues or with the visit of a certification authority</t>
        </r>
      </text>
    </comment>
    <comment ref="B5" authorId="1" shapeId="0">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 팀 및 담당자 명</t>
        </r>
      </text>
    </comment>
    <comment ref="E5" authorId="2" shapeId="0">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 실제 스캔 수행일자 기재 (증빙 첨부 포함)</t>
        </r>
      </text>
    </comment>
    <comment ref="B6" authorId="3" shapeId="0">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 검증에 사용된 오픈소스 검증 도구 명 및 버전 기재</t>
        </r>
      </text>
    </comment>
    <comment ref="E6" authorId="4" shapeId="0">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 취약점 DB 업데이트 기준일자 기재 (증빙 첨부 포함)</t>
        </r>
      </text>
    </comment>
    <comment ref="B7" authorId="5" shapeId="0">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 프로젝트에 사용된 전체 오픈소스 개수</t>
        </r>
      </text>
    </comment>
    <comment ref="E7" authorId="6" shapeId="0">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 검증툴 수행 결과물(Raw data) 첨부
- Scan 수행일, 취약점 DB 업데이트 일자, 검출된 오픈소스 component, 취약점 리스트를 확인할 수 있는 raw data 첨부</t>
        </r>
      </text>
    </comment>
    <comment ref="B8" authorId="7" shapeId="0">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 HIGH 또는 CRITICAL 위험도 취약점 개수 총합
(버전 업그레이드, 패치 적용 외에 위험수용 등으로 잔존한 고위험군 취약점 개수를 뜻함)</t>
        </r>
      </text>
    </comment>
    <comment ref="E8" authorId="8" shapeId="0">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OK / NG
- 잔여 고위험군 취약점이 0개이면 OK
- 잔여 고위험군 취약점이 남아 있는 경우, 각 항목마다 위험수용을 통해 증빙되는 경우에만 OK 가능. 그 외의 경우 NG</t>
        </r>
      </text>
    </comment>
  </commentList>
</comments>
</file>

<file path=xl/comments2.xml><?xml version="1.0" encoding="utf-8"?>
<comments xmlns="http://schemas.openxmlformats.org/spreadsheetml/2006/main">
  <authors>
    <author>tc={A6A885F6-6B7D-4C3A-8C74-DC763BB05C6E}</author>
  </authors>
  <commentList>
    <comment ref="A1" authorId="0" shapeId="0">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‘표지'에 첨부한 raw data 기준 전체 취약점 개수를 요약한 결과물.
검토자는 raw data, 상세 페이지의 전체 취약점 리스트와 현 요약 페이지의 구성항목을 통해 정합성을 확인할 수 있다.</t>
        </r>
      </text>
    </comment>
  </commentList>
</comments>
</file>

<file path=xl/comments3.xml><?xml version="1.0" encoding="utf-8"?>
<comments xmlns="http://schemas.openxmlformats.org/spreadsheetml/2006/main">
  <authors>
    <author>tc={B0983E59-E7CE-4E06-9DE2-DF349F2694BA}</author>
  </authors>
  <commentList>
    <comment ref="A1" authorId="0" shapeId="0">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‘표지'에 첨부한 raw data 기준 전체 취약점 대상으로 패치 작업 후 잔존 취약점을 요약한 결과물.
검토자는 raw data, 상세 페이지의 전체 취약점 리스트와 현 요약 페이지의 구성항목을 통해 정합성을 확인할 수 있다.</t>
        </r>
      </text>
    </comment>
  </commentList>
</comments>
</file>

<file path=xl/comments4.xml><?xml version="1.0" encoding="utf-8"?>
<comments xmlns="http://schemas.openxmlformats.org/spreadsheetml/2006/main">
  <authors>
    <author>tc={7CEA06D2-CE53-4A0B-BB24-F159283EA939}</author>
    <author>강성용</author>
  </authors>
  <commentList>
    <comment ref="A1" authorId="0" shapeId="0">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 Raw data 기준 검출된 모든 취약점에 대한 처리 결과 및 검토 의견을 작성한다.
- 모든 취약점에 대한 처리 결과는 제 3자에게 소명 가능한 증빙 형태로 제출(첨부)되어야 한다.
- 모든 취약점은 아래와 같이 4가지 status를 구분하여 제출되어야 한다.
 . Patched : 공식 패치 적용을 통해 해당 취약점이 해결되었음
 . Justified : 해당 취약점이 제품에 영향이 없음(명확한 사유 포함 필요)
 . Risk Accepted : 취약점에 대한 위험을 수용하기로 결정함
 . N/A : CVSS v3 Base score 7.0 미만으로, 당사 사양 기준 허용 범주 내 취약점</t>
        </r>
      </text>
    </comment>
    <comment ref="D2" authorId="1" shapeId="0">
      <text>
        <r>
          <rPr>
            <b/>
            <sz val="9"/>
            <color indexed="81"/>
            <rFont val="돋움"/>
            <family val="3"/>
            <charset val="129"/>
          </rPr>
          <t>강성용</t>
        </r>
        <r>
          <rPr>
            <b/>
            <sz val="9"/>
            <color indexed="81"/>
            <rFont val="Tahoma"/>
            <family val="2"/>
          </rPr>
          <t>:</t>
        </r>
        <r>
          <rPr>
            <sz val="9"/>
            <color indexed="81"/>
            <rFont val="Tahoma"/>
            <family val="2"/>
          </rPr>
          <t xml:space="preserve">
Requires reconfirmation of CVSSv3 reference
(Setting is required because the marking priority may differ for each verification tool)</t>
        </r>
      </text>
    </comment>
    <comment ref="I3" authorId="1"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Tahoma"/>
            <family val="2"/>
          </rPr>
          <t xml:space="preserve">
If it is justified that it is detected but not installed, additional proof that it is not installed in mass-produced products is required.</t>
        </r>
      </text>
    </comment>
    <comment ref="I4" authorId="1" shapeId="0">
      <text>
        <r>
          <rPr>
            <b/>
            <sz val="9"/>
            <color indexed="81"/>
            <rFont val="돋움"/>
            <family val="3"/>
            <charset val="129"/>
          </rPr>
          <t>강성용</t>
        </r>
        <r>
          <rPr>
            <b/>
            <sz val="9"/>
            <color indexed="81"/>
            <rFont val="Tahoma"/>
            <family val="2"/>
          </rPr>
          <t xml:space="preserve">:
</t>
        </r>
        <r>
          <rPr>
            <sz val="9"/>
            <color indexed="81"/>
            <rFont val="Tahoma"/>
            <family val="2"/>
          </rPr>
          <t xml:space="preserve">
For single patching rather than versioning,
Write the official patch source URL or its own patch URL applied to the development server (for future traceability).</t>
        </r>
      </text>
    </comment>
    <comment ref="I6" authorId="1"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Tahoma"/>
            <family val="2"/>
          </rPr>
          <t xml:space="preserve">
If it is included in the open source code but justified as unused code, additional proof is required.</t>
        </r>
      </text>
    </comment>
    <comment ref="I8" authorId="1"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Tahoma"/>
            <family val="2"/>
          </rPr>
          <t>If mitigation measures cannot be completed within the deadline for submission of the report, the action schedule shall be filled in.
(Need to attach minutes after consultation with decision makers of HMC and development companies)</t>
        </r>
      </text>
    </comment>
  </commentList>
</comments>
</file>

<file path=xl/comments5.xml><?xml version="1.0" encoding="utf-8"?>
<comments xmlns="http://schemas.openxmlformats.org/spreadsheetml/2006/main">
  <authors>
    <author>강성용</author>
  </authors>
  <commentList>
    <comment ref="O1" authorId="0" shapeId="0">
      <text>
        <r>
          <rPr>
            <b/>
            <sz val="9"/>
            <color indexed="81"/>
            <rFont val="돋움"/>
            <family val="3"/>
            <charset val="129"/>
          </rPr>
          <t>강성용</t>
        </r>
        <r>
          <rPr>
            <b/>
            <sz val="9"/>
            <color indexed="81"/>
            <rFont val="Tahoma"/>
            <family val="2"/>
          </rPr>
          <t>:</t>
        </r>
        <r>
          <rPr>
            <sz val="9"/>
            <color indexed="81"/>
            <rFont val="Tahoma"/>
            <family val="2"/>
          </rPr>
          <t xml:space="preserve">
In order to know the entire software structure, it is recommended to attach the architecture and the directory structure of the file to be inspected together.
(To check whether all software used in the development of the controller has been scanned and the area responsible for the separation of the report by each developer)
</t>
        </r>
        <r>
          <rPr>
            <sz val="9"/>
            <color indexed="81"/>
            <rFont val="돋움"/>
            <family val="3"/>
            <charset val="129"/>
          </rPr>
          <t>※</t>
        </r>
        <r>
          <rPr>
            <sz val="9"/>
            <color indexed="81"/>
            <rFont val="Tahoma"/>
            <family val="2"/>
          </rPr>
          <t xml:space="preserve"> If the report is submitted separately for each item (ex. 3rd party development), mark the development responsibility for each area so that it can be distinguished.
</t>
        </r>
        <r>
          <rPr>
            <sz val="9"/>
            <color indexed="81"/>
            <rFont val="돋움"/>
            <family val="3"/>
            <charset val="129"/>
          </rPr>
          <t>※</t>
        </r>
        <r>
          <rPr>
            <sz val="9"/>
            <color indexed="81"/>
            <rFont val="Tahoma"/>
            <family val="2"/>
          </rPr>
          <t xml:space="preserve"> Submit some blurring results, as shown in the example, if the file structure is not open to public.</t>
        </r>
      </text>
    </comment>
  </commentList>
</comments>
</file>

<file path=xl/sharedStrings.xml><?xml version="1.0" encoding="utf-8"?>
<sst xmlns="http://schemas.openxmlformats.org/spreadsheetml/2006/main" count="270" uniqueCount="184">
  <si>
    <t>오픈소스 소프트웨어 보안 검증 성적서
Open Source Software Vulnerability Verification Report</t>
    <phoneticPr fontId="4" type="noConversion"/>
  </si>
  <si>
    <t>프로젝트명
Project Name</t>
    <phoneticPr fontId="4" type="noConversion"/>
  </si>
  <si>
    <t xml:space="preserve"> GN7 ㅇㅇㅇ Controller Development</t>
    <phoneticPr fontId="4" type="noConversion"/>
  </si>
  <si>
    <t>제출일
Submission Date</t>
    <phoneticPr fontId="4" type="noConversion"/>
  </si>
  <si>
    <t>dd/mm/yyyy</t>
    <phoneticPr fontId="4" type="noConversion"/>
  </si>
  <si>
    <t>개발 부문명
Development Company</t>
    <phoneticPr fontId="4" type="noConversion"/>
  </si>
  <si>
    <t xml:space="preserve"> ㅇㅇㅇ</t>
    <phoneticPr fontId="4" type="noConversion"/>
  </si>
  <si>
    <t>작성자
Author</t>
    <phoneticPr fontId="4" type="noConversion"/>
  </si>
  <si>
    <t xml:space="preserve"> ㅇㅇㅇ Senior Engineer / ㅇㅇㅇDevelopment Team</t>
    <phoneticPr fontId="4" type="noConversion"/>
  </si>
  <si>
    <t>적용 차종
Target Vehicle</t>
    <phoneticPr fontId="4" type="noConversion"/>
  </si>
  <si>
    <t xml:space="preserve"> GN7</t>
    <phoneticPr fontId="4" type="noConversion"/>
  </si>
  <si>
    <t>사용 영역
Target Area</t>
    <phoneticPr fontId="4" type="noConversion"/>
  </si>
  <si>
    <t xml:space="preserve"> - Firmware Version
   . Before Fix : ********************
   . After Fix : ********************
 - AUTOSAR : XXX Company's ㅇㅇㅇPlatform, version : **********
 - MCAL : ****************
 - ….</t>
    <phoneticPr fontId="4" type="noConversion"/>
  </si>
  <si>
    <t>HMC/KIA 설계 담당
HMC/KIA Development Team</t>
    <phoneticPr fontId="4" type="noConversion"/>
  </si>
  <si>
    <t xml:space="preserve"> ㅇㅇㅇ Senior Engineer / ㅇㅇㅇㅇㅇㅇㅇ Development Team</t>
    <phoneticPr fontId="4" type="noConversion"/>
  </si>
  <si>
    <t>검증툴 스캔 수행일
Verification Tool Scan Date</t>
    <phoneticPr fontId="4" type="noConversion"/>
  </si>
  <si>
    <t>Scan date: 202x.xx.xx</t>
    <phoneticPr fontId="4" type="noConversion"/>
  </si>
  <si>
    <t>오픈소스 검증툴 명 및 버전
Open Source Verification Tool Name &amp; Version</t>
    <phoneticPr fontId="4" type="noConversion"/>
  </si>
  <si>
    <t xml:space="preserve"> Blackduck Hub v2021.10.3</t>
    <phoneticPr fontId="4" type="noConversion"/>
  </si>
  <si>
    <t>취약점 DB 업데이트 기준일자
Vulnerability DB Update Date</t>
    <phoneticPr fontId="4" type="noConversion"/>
  </si>
  <si>
    <t>Last Updated : 202x.xx.xx</t>
    <phoneticPr fontId="4" type="noConversion"/>
  </si>
  <si>
    <t>검증 대상 오픈소스 항목
Open Source items to be verified</t>
    <phoneticPr fontId="4" type="noConversion"/>
  </si>
  <si>
    <t xml:space="preserve"> ** ea</t>
    <phoneticPr fontId="4" type="noConversion"/>
  </si>
  <si>
    <t>첨부
Attach.</t>
    <phoneticPr fontId="4" type="noConversion"/>
  </si>
  <si>
    <t xml:space="preserve"> - 1. ASW + BSW
 - 2. SWP
 - 3. MCAL 
 - 4. ASK, HSM, Secure Flash2.0</t>
    <phoneticPr fontId="4" type="noConversion"/>
  </si>
  <si>
    <t>잔여 고위험군 취약점
(위험 수용)
Residual High Risk Vulnerabilities
(Risk Accepted)</t>
    <phoneticPr fontId="4" type="noConversion"/>
  </si>
  <si>
    <t xml:space="preserve"> 0개</t>
    <phoneticPr fontId="4" type="noConversion"/>
  </si>
  <si>
    <t>종합 결과
Final Result</t>
    <phoneticPr fontId="4" type="noConversion"/>
  </si>
  <si>
    <t>OK</t>
    <phoneticPr fontId="4" type="noConversion"/>
  </si>
  <si>
    <t>Revision History</t>
    <phoneticPr fontId="7" type="noConversion"/>
  </si>
  <si>
    <t>Rev.</t>
    <phoneticPr fontId="7" type="noConversion"/>
  </si>
  <si>
    <t>Date</t>
    <phoneticPr fontId="7" type="noConversion"/>
  </si>
  <si>
    <t>Author</t>
    <phoneticPr fontId="7" type="noConversion"/>
  </si>
  <si>
    <t>Description</t>
    <phoneticPr fontId="7" type="noConversion"/>
  </si>
  <si>
    <t>Reviewer</t>
    <phoneticPr fontId="7" type="noConversion"/>
  </si>
  <si>
    <t>협력사 담당자</t>
    <phoneticPr fontId="4" type="noConversion"/>
  </si>
  <si>
    <t>First Draft</t>
    <phoneticPr fontId="4" type="noConversion"/>
  </si>
  <si>
    <t>작성자 소속장</t>
    <phoneticPr fontId="4" type="noConversion"/>
  </si>
  <si>
    <t>취약점 분석 결과 (수정 전, Raw data 기준)
Vulnerability Verification Results (Before Fix, Based on Raw data)</t>
    <phoneticPr fontId="4" type="noConversion"/>
  </si>
  <si>
    <t>Name</t>
    <phoneticPr fontId="4" type="noConversion"/>
  </si>
  <si>
    <t>Version</t>
    <phoneticPr fontId="4" type="noConversion"/>
  </si>
  <si>
    <t>LOW</t>
    <phoneticPr fontId="4" type="noConversion"/>
  </si>
  <si>
    <t>MEDIUM</t>
    <phoneticPr fontId="4" type="noConversion"/>
  </si>
  <si>
    <t>HIGH</t>
    <phoneticPr fontId="4" type="noConversion"/>
  </si>
  <si>
    <t>CRITICAL</t>
    <phoneticPr fontId="4" type="noConversion"/>
  </si>
  <si>
    <t>Total</t>
    <phoneticPr fontId="4" type="noConversion"/>
  </si>
  <si>
    <t>High-risk group
(HIGH/CRITICAL)</t>
    <phoneticPr fontId="4" type="noConversion"/>
  </si>
  <si>
    <t>Pass / Fail</t>
    <phoneticPr fontId="4" type="noConversion"/>
  </si>
  <si>
    <t>Bootstrap (Twitter)</t>
  </si>
  <si>
    <t>3.0.3</t>
  </si>
  <si>
    <t>busybox</t>
  </si>
  <si>
    <t>1_24_1</t>
  </si>
  <si>
    <t>ceph</t>
  </si>
  <si>
    <t>12.2.5</t>
  </si>
  <si>
    <t>conntrack-tools</t>
  </si>
  <si>
    <t>1.0.1</t>
  </si>
  <si>
    <t>curl</t>
  </si>
  <si>
    <t>7.61.0</t>
  </si>
  <si>
    <t>D-Bus</t>
  </si>
  <si>
    <t>1.10.20</t>
  </si>
  <si>
    <t>dhcpd</t>
  </si>
  <si>
    <t>5.2.10</t>
  </si>
  <si>
    <t>dlt-daemon</t>
  </si>
  <si>
    <t>2.17.0</t>
  </si>
  <si>
    <t>Dnsmasq</t>
  </si>
  <si>
    <t>e2fsprogs</t>
  </si>
  <si>
    <t>1.43.5</t>
  </si>
  <si>
    <t>ffi</t>
  </si>
  <si>
    <t>1.9.21</t>
  </si>
  <si>
    <t>GLib</t>
  </si>
  <si>
    <t>2.52.3</t>
  </si>
  <si>
    <t>glib-networking</t>
  </si>
  <si>
    <t>2.50.0</t>
  </si>
  <si>
    <t>GMP</t>
  </si>
  <si>
    <t>6.1.2</t>
  </si>
  <si>
    <t>GNU C Library</t>
  </si>
  <si>
    <t>GNU Compiler Collection</t>
  </si>
  <si>
    <t>6.3.0</t>
  </si>
  <si>
    <t>GNU Core Utilities</t>
  </si>
  <si>
    <t>GnuTLS</t>
  </si>
  <si>
    <t>3.6.13</t>
  </si>
  <si>
    <t>GStreamer</t>
  </si>
  <si>
    <t>1.12.2</t>
  </si>
  <si>
    <t>iproute2</t>
  </si>
  <si>
    <t>3.16.0</t>
  </si>
  <si>
    <t>json-c</t>
  </si>
  <si>
    <t>0.12.1</t>
  </si>
  <si>
    <t>libexpat</t>
  </si>
  <si>
    <t>2.2.3</t>
  </si>
  <si>
    <t>libffi</t>
  </si>
  <si>
    <t>3.2.1</t>
  </si>
  <si>
    <t>libgcrypt</t>
  </si>
  <si>
    <t>1.8.4</t>
  </si>
  <si>
    <t>libsoup</t>
  </si>
  <si>
    <t>2.58.2</t>
  </si>
  <si>
    <t>libssh2</t>
  </si>
  <si>
    <t>1.9.0</t>
  </si>
  <si>
    <t>libvorbis</t>
  </si>
  <si>
    <t>1.3.5</t>
  </si>
  <si>
    <t>libxml2</t>
  </si>
  <si>
    <t>2.9.5</t>
  </si>
  <si>
    <t>Linux Kernel</t>
  </si>
  <si>
    <t>3.18.120</t>
  </si>
  <si>
    <t>Linux-Pam</t>
  </si>
  <si>
    <t>1.3.0</t>
  </si>
  <si>
    <t>lz4</t>
  </si>
  <si>
    <t>1.7.4</t>
  </si>
  <si>
    <t>ncurses</t>
  </si>
  <si>
    <t>Nettle</t>
  </si>
  <si>
    <t>3.5.1</t>
  </si>
  <si>
    <t>OpenSSH</t>
  </si>
  <si>
    <t>7.5p1</t>
  </si>
  <si>
    <t>OpenSSL</t>
  </si>
  <si>
    <t>1.0.2o</t>
  </si>
  <si>
    <t>PCRE</t>
  </si>
  <si>
    <t>Procps</t>
  </si>
  <si>
    <t>3.3.15</t>
  </si>
  <si>
    <t>Shadow Tool Suite</t>
  </si>
  <si>
    <t>4.2.1</t>
  </si>
  <si>
    <t>Speex</t>
  </si>
  <si>
    <t>1.2.0</t>
  </si>
  <si>
    <t>TagLib</t>
  </si>
  <si>
    <t>1.11.1</t>
  </si>
  <si>
    <t>util-linux</t>
  </si>
  <si>
    <t>취약점 분석 결과 (수정 후)
Vulnerability Verification Results (After Fix)</t>
    <phoneticPr fontId="4" type="noConversion"/>
  </si>
  <si>
    <t>Name</t>
    <phoneticPr fontId="4" type="noConversion"/>
  </si>
  <si>
    <t>Version</t>
    <phoneticPr fontId="4" type="noConversion"/>
  </si>
  <si>
    <t>LOW</t>
    <phoneticPr fontId="4" type="noConversion"/>
  </si>
  <si>
    <t>MEDIUM</t>
    <phoneticPr fontId="4" type="noConversion"/>
  </si>
  <si>
    <t>HIGH</t>
    <phoneticPr fontId="4" type="noConversion"/>
  </si>
  <si>
    <t>CRITICAL</t>
    <phoneticPr fontId="4" type="noConversion"/>
  </si>
  <si>
    <t>Total</t>
    <phoneticPr fontId="4" type="noConversion"/>
  </si>
  <si>
    <t>High-risk group
(HIGH/CRITICAL)</t>
    <phoneticPr fontId="4" type="noConversion"/>
  </si>
  <si>
    <t>Pass / Fail</t>
    <phoneticPr fontId="4" type="noConversion"/>
  </si>
  <si>
    <t>Bootstrap (Twitter)</t>
    <phoneticPr fontId="4" type="noConversion"/>
  </si>
  <si>
    <t xml:space="preserve"> </t>
    <phoneticPr fontId="4" type="noConversion"/>
  </si>
  <si>
    <t>검출 취약점 (상세)
Detected Vulnerabilities (Detailed)</t>
    <phoneticPr fontId="4" type="noConversion"/>
  </si>
  <si>
    <t>Name</t>
    <phoneticPr fontId="4" type="noConversion"/>
  </si>
  <si>
    <t>Version</t>
    <phoneticPr fontId="4" type="noConversion"/>
  </si>
  <si>
    <t>CVE ID</t>
    <phoneticPr fontId="4" type="noConversion"/>
  </si>
  <si>
    <t>CVSS v3 Base Score</t>
    <phoneticPr fontId="4" type="noConversion"/>
  </si>
  <si>
    <t>Security Risk</t>
    <phoneticPr fontId="4" type="noConversion"/>
  </si>
  <si>
    <t>Description</t>
    <phoneticPr fontId="4" type="noConversion"/>
  </si>
  <si>
    <t>URL</t>
    <phoneticPr fontId="4" type="noConversion"/>
  </si>
  <si>
    <t>Status</t>
    <phoneticPr fontId="4" type="noConversion"/>
  </si>
  <si>
    <t>comment</t>
    <phoneticPr fontId="4" type="noConversion"/>
  </si>
  <si>
    <t>CVE-2018-14618
(BDSA-2018-3058)</t>
    <phoneticPr fontId="4" type="noConversion"/>
  </si>
  <si>
    <t>curl before version 7.61.1 is vulnerable to a buffer overrun in the NTLM authentication code. The internal function Curl_ntlm_core_mk_nt_hash multiplies the length of the password by two (SUM) to figure out how large temporary storage area to allocate from the heap. The length value is then subsequently used to iterate over the password and generate output into the allocated storage buffer. On systems with a 32 bit size_t, the math to calculate SUM triggers an integer overflow when the password length exceeds 2GB (2^31 bytes). This integer overflow usually causes a very small buffer to actually get allocated instead of the intended very huge one, making the use of that buffer end up in a heap buffer overflow. (This bug is almost identical to CVE-2017-8816.)</t>
  </si>
  <si>
    <t>https://nvd.nist.gov/vuln/detail/CVE-2018-14618</t>
  </si>
  <si>
    <t>Justified</t>
  </si>
  <si>
    <t>libcurl was removed from ******* version</t>
    <phoneticPr fontId="4" type="noConversion"/>
  </si>
  <si>
    <t>CVE-2017-16997 
(BDSA-2017-2735)</t>
    <phoneticPr fontId="4" type="noConversion"/>
  </si>
  <si>
    <t>elf/dl-load.c in the GNU C Library (aka glibc or libc6) 2.19 through 2.26 mishandles RPATH and RUNPATH containing $ORIGIN for a privileged (setuid or AT_SECURE) program, which allows local users to gain privileges via a Trojan horse library in the current working directory, related to the fillin_rpath and decompose_rpath functions. This is associated with misinterpretion of an empty RPATH/RUNPATH token as the "./" directory. NOTE: this configuration of RPATH/RUNPATH for a privileged program is apparently very uncommon; most likely, no such program is shipped with any common Linux distribution.</t>
  </si>
  <si>
    <t>https://nvd.nist.gov/vuln/detail/CVE-2017-16997</t>
  </si>
  <si>
    <t>Patched</t>
  </si>
  <si>
    <t>Patch already applied
- Original Patch URL : https://sourceware.org/legacy-ml/libc-alpha/2017-12/msg00528.html
- Applied patch result URL : http://vgit.aaa.com/as/c/pap/yocto/vendor/hkmc/meta-mango2/+/123456</t>
    <phoneticPr fontId="4" type="noConversion"/>
  </si>
  <si>
    <t>CVE-2018-17953
(BDSA-2018-4668)</t>
    <phoneticPr fontId="4" type="noConversion"/>
  </si>
  <si>
    <t>A incorrect variable in a SUSE specific patch for pam_access rule matching in PAM 1.3.0 in openSUSE Leap 15.0 and SUSE Linux Enterprise 15 could lead to pam_access rules not being applied (fail open).</t>
  </si>
  <si>
    <t>https://nvd.nist.gov/vuln/detail/CVE-2018-17953</t>
  </si>
  <si>
    <t>for SUSE linux only</t>
    <phoneticPr fontId="4" type="noConversion"/>
  </si>
  <si>
    <t>linux_kernel</t>
  </si>
  <si>
    <t>4.1.27</t>
  </si>
  <si>
    <t>CVE-2017-12762</t>
    <phoneticPr fontId="4" type="noConversion"/>
  </si>
  <si>
    <t>In /drivers/isdn/i4l/isdn_net.c: A user-controlled buffer is copied into a local buffer of constant size using strcpy without a length check which can cause a buffer overflow. This affects the Linux kernel 4.9-stable tree, 4.12-stable tree, 3.18-stable tree, and 4.4-stable tree.</t>
  </si>
  <si>
    <t>https://nvd.nist.gov/vuln/detail/CVE-2017-12762</t>
  </si>
  <si>
    <t>[function not presented in build]</t>
    <phoneticPr fontId="4" type="noConversion"/>
  </si>
  <si>
    <t>libid3tag</t>
  </si>
  <si>
    <t>CVE-2008-2109</t>
    <phoneticPr fontId="4" type="noConversion"/>
  </si>
  <si>
    <t>MEDIUM</t>
    <phoneticPr fontId="4" type="noConversion"/>
  </si>
  <si>
    <t>field.c in the libid3tag 0.15.0b library allows context-dependent attackers to cause a denial of service (CPU consumption) via an ID3_FIELD_TYPE_STRINGLIST field that ends in '\0', which triggers an infinite loop.</t>
  </si>
  <si>
    <t>https://nvd.nist.gov/vuln/detail/CVE-2008-2109</t>
  </si>
  <si>
    <t>N/A</t>
  </si>
  <si>
    <t>CVSS Score less than 7.0</t>
    <phoneticPr fontId="4" type="noConversion"/>
  </si>
  <si>
    <t>1.27.2</t>
  </si>
  <si>
    <t>CVE-2021-42384 (BDSA-2021-3465)</t>
  </si>
  <si>
    <t>A use-after-free in Busybox's awk applet leads to denial of service and possibly code execution when processing a crafted awk pattern in the handle_special function</t>
  </si>
  <si>
    <t>https://nvd.nist.gov/vuln/detail/CVE-2021-42384</t>
  </si>
  <si>
    <t>Risk Accepted</t>
  </si>
  <si>
    <t>[Fix schedule]
=&gt; 1.34.0 verion will be applied by upgrading Yocto 3.3: ~ 8/31</t>
    <phoneticPr fontId="4" type="noConversion"/>
  </si>
  <si>
    <t>EX. 1</t>
    <phoneticPr fontId="4" type="noConversion"/>
  </si>
  <si>
    <t>※ Attaching the latest update date of vulnerability DB.</t>
    <phoneticPr fontId="4" type="noConversion"/>
  </si>
  <si>
    <t>EX. 2</t>
    <phoneticPr fontId="4" type="noConversion"/>
  </si>
  <si>
    <t>※ It is necessary to present official documents, etc. from the developer of the tool related to the vulnerability DB update policy (continued below)</t>
    <phoneticPr fontId="4" type="noConversion"/>
  </si>
  <si>
    <t>※ Capture the latest update status to show that vulnerability DB is being updated</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</si>
</sst>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맑은 고딕"/>
      <family val="2"/>
      <charset val="129"/>
      <scheme val="minor"/>
    </font>
    <font>
      <sz val="11"/>
      <color theme="1"/>
      <name val="맑은 고딕"/>
      <family val="2"/>
      <charset val="129"/>
      <scheme val="minor"/>
    </font>
    <font>
      <sz val="11"/>
      <color rgb="FF9C6500"/>
      <name val="맑은 고딕"/>
      <family val="2"/>
      <charset val="129"/>
      <scheme val="minor"/>
    </font>
    <font>
      <b/>
      <sz val="18"/>
      <color theme="1"/>
      <name val="맑은 고딕"/>
      <family val="3"/>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sz val="8"/>
      <name val="맑은 고딕"/>
      <family val="3"/>
      <charset val="129"/>
      <scheme val="minor"/>
    </font>
    <font>
      <sz val="11"/>
      <color theme="2" tint="-0.249977111117893"/>
      <name val="맑은 고딕"/>
      <family val="2"/>
      <charset val="129"/>
      <scheme val="minor"/>
    </font>
    <font>
      <b/>
      <sz val="9"/>
      <color indexed="81"/>
      <name val="돋움"/>
      <family val="3"/>
      <charset val="129"/>
    </font>
    <font>
      <b/>
      <sz val="9"/>
      <color indexed="81"/>
      <name val="Tahoma"/>
      <family val="2"/>
    </font>
    <font>
      <sz val="9"/>
      <color indexed="81"/>
      <name val="Tahoma"/>
      <family val="2"/>
    </font>
    <font>
      <sz val="10"/>
      <color indexed="81"/>
      <name val="Tahoma"/>
      <family val="2"/>
    </font>
    <font>
      <sz val="10"/>
      <color theme="1"/>
      <name val="맑은 고딕"/>
      <family val="3"/>
      <charset val="129"/>
      <scheme val="minor"/>
    </font>
    <font>
      <sz val="11"/>
      <name val="맑은 고딕"/>
      <family val="3"/>
      <charset val="129"/>
      <scheme val="minor"/>
    </font>
    <font>
      <sz val="11"/>
      <color theme="0" tint="-0.34998626667073579"/>
      <name val="맑은 고딕"/>
      <family val="2"/>
      <charset val="129"/>
      <scheme val="minor"/>
    </font>
    <font>
      <b/>
      <sz val="11"/>
      <color rgb="FFFF0000"/>
      <name val="맑은 고딕"/>
      <family val="3"/>
      <charset val="129"/>
      <scheme val="minor"/>
    </font>
    <font>
      <sz val="10"/>
      <color theme="1"/>
      <name val="맑은 고딕"/>
      <family val="3"/>
      <charset val="129"/>
      <scheme val="major"/>
    </font>
    <font>
      <sz val="9"/>
      <color indexed="81"/>
      <name val="돋움"/>
      <family val="3"/>
      <charset val="129"/>
    </font>
    <font>
      <b/>
      <sz val="20"/>
      <color rgb="FFFF0000"/>
      <name val="맑은 고딕"/>
      <family val="3"/>
      <charset val="129"/>
      <scheme val="minor"/>
    </font>
    <font>
      <b/>
      <sz val="11"/>
      <color rgb="FF9C6500"/>
      <name val="맑은 고딕"/>
      <family val="3"/>
      <charset val="129"/>
      <scheme val="minor"/>
    </font>
  </fonts>
  <fills count="8">
    <fill>
      <patternFill patternType="none"/>
    </fill>
    <fill>
      <patternFill patternType="gray125"/>
    </fill>
    <fill>
      <patternFill patternType="solid">
        <fgColor rgb="FFFFEB9C"/>
      </patternFill>
    </fill>
    <fill>
      <patternFill patternType="solid">
        <fgColor theme="4"/>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3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auto="1"/>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alignment vertical="center"/>
    </xf>
    <xf numFmtId="0" fontId="2" fillId="2" borderId="0" applyNumberFormat="0" applyBorder="0" applyAlignment="0" applyProtection="0">
      <alignment vertical="center"/>
    </xf>
    <xf numFmtId="0" fontId="1" fillId="0" borderId="0">
      <alignment vertical="center"/>
    </xf>
  </cellStyleXfs>
  <cellXfs count="81">
    <xf numFmtId="0" fontId="0" fillId="0" borderId="0" xfId="0">
      <alignment vertic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5" fillId="4" borderId="4" xfId="0" applyFont="1" applyFill="1"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5" fillId="4" borderId="7" xfId="0" applyFont="1" applyFill="1" applyBorder="1" applyAlignment="1">
      <alignment horizontal="center" vertical="center" wrapText="1"/>
    </xf>
    <xf numFmtId="0" fontId="6" fillId="0" borderId="8" xfId="0" applyFont="1" applyBorder="1" applyAlignment="1">
      <alignment horizontal="center" vertical="center" wrapText="1"/>
    </xf>
    <xf numFmtId="0" fontId="5" fillId="4" borderId="9"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5" fillId="4" borderId="12" xfId="0" applyFont="1" applyFill="1" applyBorder="1" applyAlignment="1">
      <alignment horizontal="center" vertical="center" wrapText="1"/>
    </xf>
    <xf numFmtId="0" fontId="0" fillId="0" borderId="13" xfId="0" applyBorder="1">
      <alignment vertical="center"/>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vertical="center" wrapText="1"/>
    </xf>
    <xf numFmtId="0" fontId="6" fillId="0" borderId="13" xfId="0" applyFont="1" applyBorder="1" applyAlignment="1">
      <alignment horizontal="center" vertical="center" wrapText="1"/>
    </xf>
    <xf numFmtId="0" fontId="5" fillId="4" borderId="14" xfId="0" applyFont="1" applyFill="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5" fillId="5" borderId="17" xfId="0" applyFont="1" applyFill="1" applyBorder="1" applyAlignment="1">
      <alignment horizontal="center" vertical="center" wrapText="1"/>
    </xf>
    <xf numFmtId="0" fontId="6" fillId="0" borderId="18" xfId="0" applyFont="1" applyBorder="1" applyAlignment="1">
      <alignment horizontal="center" vertical="center" wrapText="1"/>
    </xf>
    <xf numFmtId="0" fontId="1" fillId="0" borderId="0" xfId="2">
      <alignment vertical="center"/>
    </xf>
    <xf numFmtId="0" fontId="3" fillId="3" borderId="19" xfId="2" applyFont="1" applyFill="1" applyBorder="1" applyAlignment="1">
      <alignment horizontal="center" vertical="center" wrapText="1"/>
    </xf>
    <xf numFmtId="0" fontId="3" fillId="3" borderId="20" xfId="2" applyFont="1" applyFill="1" applyBorder="1" applyAlignment="1">
      <alignment horizontal="center" vertical="center" wrapText="1"/>
    </xf>
    <xf numFmtId="0" fontId="3" fillId="3" borderId="21" xfId="2" applyFont="1" applyFill="1" applyBorder="1" applyAlignment="1">
      <alignment horizontal="center" vertical="center" wrapText="1"/>
    </xf>
    <xf numFmtId="0" fontId="5" fillId="4" borderId="9" xfId="2" applyFont="1" applyFill="1" applyBorder="1" applyAlignment="1">
      <alignment horizontal="center" vertical="center"/>
    </xf>
    <xf numFmtId="0" fontId="5" fillId="4" borderId="12" xfId="2" applyFont="1" applyFill="1" applyBorder="1" applyAlignment="1">
      <alignment horizontal="center" vertical="center"/>
    </xf>
    <xf numFmtId="0" fontId="5" fillId="4" borderId="13" xfId="2" applyFont="1" applyFill="1" applyBorder="1" applyAlignment="1">
      <alignment horizontal="center" vertical="center"/>
    </xf>
    <xf numFmtId="0" fontId="8" fillId="0" borderId="9" xfId="2" applyFont="1" applyBorder="1" applyAlignment="1">
      <alignment horizontal="center" vertical="center"/>
    </xf>
    <xf numFmtId="14" fontId="8" fillId="0" borderId="12" xfId="2" applyNumberFormat="1" applyFont="1" applyBorder="1" applyAlignment="1">
      <alignment horizontal="center" vertical="center"/>
    </xf>
    <xf numFmtId="0" fontId="8" fillId="0" borderId="12" xfId="2" applyFont="1" applyBorder="1" applyAlignment="1">
      <alignment horizontal="center" vertical="center"/>
    </xf>
    <xf numFmtId="0" fontId="8" fillId="0" borderId="13" xfId="2" applyFont="1" applyBorder="1" applyAlignment="1">
      <alignment horizontal="center" vertical="center"/>
    </xf>
    <xf numFmtId="0" fontId="1" fillId="0" borderId="9" xfId="2" applyBorder="1" applyAlignment="1">
      <alignment horizontal="center" vertical="center"/>
    </xf>
    <xf numFmtId="0" fontId="1" fillId="0" borderId="12" xfId="2" applyBorder="1" applyAlignment="1">
      <alignment horizontal="center" vertical="center"/>
    </xf>
    <xf numFmtId="0" fontId="1" fillId="0" borderId="13" xfId="2" applyBorder="1" applyAlignment="1">
      <alignment horizontal="center" vertical="center"/>
    </xf>
    <xf numFmtId="0" fontId="1" fillId="0" borderId="9" xfId="2" applyBorder="1">
      <alignment vertical="center"/>
    </xf>
    <xf numFmtId="0" fontId="1" fillId="0" borderId="12" xfId="2" applyBorder="1">
      <alignment vertical="center"/>
    </xf>
    <xf numFmtId="0" fontId="1" fillId="0" borderId="13" xfId="2" applyBorder="1">
      <alignment vertical="center"/>
    </xf>
    <xf numFmtId="0" fontId="1" fillId="0" borderId="14" xfId="2" applyBorder="1">
      <alignment vertical="center"/>
    </xf>
    <xf numFmtId="0" fontId="1" fillId="0" borderId="17" xfId="2" applyBorder="1">
      <alignment vertical="center"/>
    </xf>
    <xf numFmtId="0" fontId="1" fillId="0" borderId="22" xfId="2" applyBorder="1">
      <alignment vertical="center"/>
    </xf>
    <xf numFmtId="0" fontId="5" fillId="6" borderId="23" xfId="0" applyFont="1" applyFill="1" applyBorder="1" applyAlignment="1">
      <alignment horizontal="center" vertical="center"/>
    </xf>
    <xf numFmtId="0" fontId="5" fillId="6" borderId="24" xfId="0" applyFont="1" applyFill="1" applyBorder="1" applyAlignment="1">
      <alignment horizontal="center" vertical="center"/>
    </xf>
    <xf numFmtId="0" fontId="5" fillId="6" borderId="18" xfId="0" applyFont="1" applyFill="1" applyBorder="1" applyAlignment="1">
      <alignment horizontal="center" vertical="center"/>
    </xf>
    <xf numFmtId="0" fontId="5" fillId="0" borderId="0" xfId="0" applyFont="1" applyAlignment="1">
      <alignment horizontal="center" vertical="center"/>
    </xf>
    <xf numFmtId="0" fontId="5" fillId="6" borderId="23" xfId="0" applyFont="1" applyFill="1" applyBorder="1" applyAlignment="1">
      <alignment horizontal="center" vertical="center" wrapText="1"/>
    </xf>
    <xf numFmtId="0" fontId="13" fillId="0" borderId="12" xfId="0" applyFont="1" applyBorder="1" applyAlignment="1">
      <alignment horizontal="center" vertical="center"/>
    </xf>
    <xf numFmtId="0" fontId="14" fillId="0" borderId="25" xfId="0" applyFont="1" applyBorder="1">
      <alignment vertical="center"/>
    </xf>
    <xf numFmtId="0" fontId="14" fillId="0" borderId="0" xfId="0" applyFont="1">
      <alignment vertical="center"/>
    </xf>
    <xf numFmtId="0" fontId="14"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12" xfId="0" applyFont="1" applyBorder="1">
      <alignment vertical="center"/>
    </xf>
    <xf numFmtId="0" fontId="5" fillId="4" borderId="10" xfId="0" applyFont="1" applyFill="1" applyBorder="1" applyAlignment="1">
      <alignment horizontal="center" vertical="center"/>
    </xf>
    <xf numFmtId="0" fontId="5" fillId="4" borderId="11" xfId="0" applyFont="1" applyFill="1" applyBorder="1" applyAlignment="1">
      <alignment horizontal="center" vertical="center"/>
    </xf>
    <xf numFmtId="0" fontId="0" fillId="0" borderId="12" xfId="0" applyBorder="1">
      <alignment vertical="center"/>
    </xf>
    <xf numFmtId="0" fontId="15" fillId="0" borderId="12" xfId="0" applyFont="1" applyBorder="1">
      <alignment vertical="center"/>
    </xf>
    <xf numFmtId="0" fontId="16" fillId="5" borderId="12" xfId="0" applyFont="1" applyFill="1" applyBorder="1" applyAlignment="1">
      <alignment horizontal="center" vertical="center"/>
    </xf>
    <xf numFmtId="0" fontId="0" fillId="0" borderId="0" xfId="0" applyAlignment="1">
      <alignment horizontal="center" vertical="center"/>
    </xf>
    <xf numFmtId="0" fontId="5" fillId="4" borderId="27"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30" xfId="0" applyFont="1" applyFill="1" applyBorder="1" applyAlignment="1">
      <alignment horizontal="center" vertical="center"/>
    </xf>
    <xf numFmtId="0" fontId="13" fillId="0" borderId="12" xfId="0" applyFont="1" applyBorder="1" applyAlignment="1">
      <alignment horizontal="center" vertical="center" wrapText="1"/>
    </xf>
    <xf numFmtId="0" fontId="13" fillId="0" borderId="12" xfId="0" applyFont="1" applyBorder="1" applyAlignment="1">
      <alignment horizontal="left" vertical="center" wrapText="1"/>
    </xf>
    <xf numFmtId="0" fontId="14" fillId="0" borderId="25" xfId="0" applyFont="1" applyBorder="1" applyAlignment="1">
      <alignment horizontal="center" vertical="center" wrapText="1"/>
    </xf>
    <xf numFmtId="0" fontId="13" fillId="7" borderId="12" xfId="0" applyFont="1" applyFill="1" applyBorder="1" applyAlignment="1">
      <alignment horizontal="left" vertical="center"/>
    </xf>
    <xf numFmtId="0" fontId="0" fillId="0" borderId="12" xfId="0" applyBorder="1" applyAlignment="1">
      <alignment horizontal="center" vertical="center"/>
    </xf>
    <xf numFmtId="0" fontId="13" fillId="0" borderId="12" xfId="0" applyFont="1" applyBorder="1" applyAlignment="1" applyProtection="1">
      <alignment horizontal="left" vertical="center" wrapText="1"/>
      <protection locked="0"/>
    </xf>
    <xf numFmtId="0" fontId="13"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left" vertical="center" wrapText="1"/>
    </xf>
    <xf numFmtId="0" fontId="17" fillId="0" borderId="0" xfId="0" applyFont="1" applyAlignment="1">
      <alignment horizontal="center" vertical="center" wrapText="1"/>
    </xf>
    <xf numFmtId="0" fontId="13" fillId="0" borderId="12" xfId="0" applyFont="1" applyBorder="1" applyAlignment="1">
      <alignment horizontal="left" vertical="center"/>
    </xf>
    <xf numFmtId="0" fontId="13" fillId="7" borderId="12" xfId="0" applyFont="1" applyFill="1" applyBorder="1" applyAlignment="1">
      <alignment horizontal="center" vertical="center"/>
    </xf>
    <xf numFmtId="0" fontId="13" fillId="7" borderId="12" xfId="0" applyFont="1" applyFill="1" applyBorder="1" applyAlignment="1">
      <alignment horizontal="left" vertical="center" wrapText="1"/>
    </xf>
    <xf numFmtId="0" fontId="19" fillId="0" borderId="0" xfId="0" applyFont="1">
      <alignment vertical="center"/>
    </xf>
    <xf numFmtId="0" fontId="2" fillId="2" borderId="0" xfId="1">
      <alignment vertical="center"/>
    </xf>
    <xf numFmtId="0" fontId="20" fillId="2" borderId="0" xfId="1" applyFont="1" applyAlignment="1">
      <alignment horizontal="left" vertical="center"/>
    </xf>
    <xf numFmtId="0" fontId="20" fillId="2" borderId="0" xfId="1" applyFont="1">
      <alignment vertical="center"/>
    </xf>
  </cellXfs>
  <cellStyles count="3">
    <cellStyle name="보통" xfId="1" builtinId="28"/>
    <cellStyle name="표준" xfId="0" builtinId="0"/>
    <cellStyle name="표준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1628775</xdr:colOff>
      <xdr:row>14</xdr:row>
      <xdr:rowOff>142876</xdr:rowOff>
    </xdr:from>
    <xdr:to>
      <xdr:col>9</xdr:col>
      <xdr:colOff>95250</xdr:colOff>
      <xdr:row>18</xdr:row>
      <xdr:rowOff>95251</xdr:rowOff>
    </xdr:to>
    <xdr:sp macro="" textlink="">
      <xdr:nvSpPr>
        <xdr:cNvPr id="2" name="직사각형 1">
          <a:extLst>
            <a:ext uri="{FF2B5EF4-FFF2-40B4-BE49-F238E27FC236}">
              <a16:creationId xmlns:a16="http://schemas.microsoft.com/office/drawing/2014/main" id="{00000000-0008-0000-0100-000003000000}"/>
            </a:ext>
          </a:extLst>
        </xdr:cNvPr>
        <xdr:cNvSpPr/>
      </xdr:nvSpPr>
      <xdr:spPr>
        <a:xfrm rot="19461550">
          <a:off x="1628775" y="3876676"/>
          <a:ext cx="5638800" cy="92392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altLang="ko-KR" sz="3000">
              <a:solidFill>
                <a:srgbClr val="FF0000"/>
              </a:solidFill>
            </a:rPr>
            <a:t>SAMPLE</a:t>
          </a:r>
          <a:endParaRPr lang="ko-KR" altLang="en-US" sz="30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1524000</xdr:colOff>
      <xdr:row>12</xdr:row>
      <xdr:rowOff>190499</xdr:rowOff>
    </xdr:from>
    <xdr:to>
      <xdr:col>8</xdr:col>
      <xdr:colOff>1247775</xdr:colOff>
      <xdr:row>16</xdr:row>
      <xdr:rowOff>142874</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rot="19461550">
          <a:off x="1524000" y="3467099"/>
          <a:ext cx="5638800" cy="7905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altLang="ko-KR" sz="3000">
              <a:solidFill>
                <a:srgbClr val="FF0000"/>
              </a:solidFill>
            </a:rPr>
            <a:t>SAMPLE</a:t>
          </a:r>
          <a:endParaRPr lang="ko-KR" altLang="en-US" sz="30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1133475</xdr:colOff>
          <xdr:row>2</xdr:row>
          <xdr:rowOff>1114425</xdr:rowOff>
        </xdr:from>
        <xdr:to>
          <xdr:col>8</xdr:col>
          <xdr:colOff>2171700</xdr:colOff>
          <xdr:row>2</xdr:row>
          <xdr:rowOff>1524000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300-00001E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2095500</xdr:colOff>
          <xdr:row>4</xdr:row>
          <xdr:rowOff>28575</xdr:rowOff>
        </xdr:from>
        <xdr:to>
          <xdr:col>8</xdr:col>
          <xdr:colOff>2609850</xdr:colOff>
          <xdr:row>4</xdr:row>
          <xdr:rowOff>485775</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300-00001F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8</xdr:col>
      <xdr:colOff>864535</xdr:colOff>
      <xdr:row>4</xdr:row>
      <xdr:rowOff>511548</xdr:rowOff>
    </xdr:from>
    <xdr:to>
      <xdr:col>9</xdr:col>
      <xdr:colOff>35603</xdr:colOff>
      <xdr:row>5</xdr:row>
      <xdr:rowOff>234173</xdr:rowOff>
    </xdr:to>
    <xdr:pic>
      <xdr:nvPicPr>
        <xdr:cNvPr id="4" name="그림 3">
          <a:extLst>
            <a:ext uri="{FF2B5EF4-FFF2-40B4-BE49-F238E27FC236}">
              <a16:creationId xmlns:a16="http://schemas.microsoft.com/office/drawing/2014/main" id="{00000000-0008-0000-0300-000022000000}"/>
            </a:ext>
          </a:extLst>
        </xdr:cNvPr>
        <xdr:cNvPicPr>
          <a:picLocks noChangeAspect="1"/>
        </xdr:cNvPicPr>
      </xdr:nvPicPr>
      <xdr:blipFill>
        <a:blip xmlns:r="http://schemas.openxmlformats.org/officeDocument/2006/relationships" r:embed="rId1"/>
        <a:stretch>
          <a:fillRect/>
        </a:stretch>
      </xdr:blipFill>
      <xdr:spPr>
        <a:xfrm>
          <a:off x="15361585" y="4626348"/>
          <a:ext cx="2057143" cy="236975"/>
        </a:xfrm>
        <a:prstGeom prst="rect">
          <a:avLst/>
        </a:prstGeom>
      </xdr:spPr>
    </xdr:pic>
    <xdr:clientData/>
  </xdr:twoCellAnchor>
  <xdr:twoCellAnchor>
    <xdr:from>
      <xdr:col>4</xdr:col>
      <xdr:colOff>369794</xdr:colOff>
      <xdr:row>3</xdr:row>
      <xdr:rowOff>156882</xdr:rowOff>
    </xdr:from>
    <xdr:to>
      <xdr:col>6</xdr:col>
      <xdr:colOff>147917</xdr:colOff>
      <xdr:row>3</xdr:row>
      <xdr:rowOff>947457</xdr:rowOff>
    </xdr:to>
    <xdr:sp macro="" textlink="">
      <xdr:nvSpPr>
        <xdr:cNvPr id="5" name="직사각형 4">
          <a:extLst>
            <a:ext uri="{FF2B5EF4-FFF2-40B4-BE49-F238E27FC236}">
              <a16:creationId xmlns:a16="http://schemas.microsoft.com/office/drawing/2014/main" id="{00000000-0008-0000-0300-000023000000}"/>
            </a:ext>
          </a:extLst>
        </xdr:cNvPr>
        <xdr:cNvSpPr/>
      </xdr:nvSpPr>
      <xdr:spPr>
        <a:xfrm rot="19461550">
          <a:off x="5037044" y="2728632"/>
          <a:ext cx="5645523" cy="7905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altLang="ko-KR" sz="3000">
              <a:solidFill>
                <a:srgbClr val="FF0000"/>
              </a:solidFill>
            </a:rPr>
            <a:t>SAMPLE</a:t>
          </a:r>
          <a:endParaRPr lang="ko-KR" altLang="en-US" sz="30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364435</xdr:colOff>
      <xdr:row>1</xdr:row>
      <xdr:rowOff>33131</xdr:rowOff>
    </xdr:from>
    <xdr:to>
      <xdr:col>13</xdr:col>
      <xdr:colOff>389076</xdr:colOff>
      <xdr:row>23</xdr:row>
      <xdr:rowOff>102404</xdr:rowOff>
    </xdr:to>
    <xdr:pic>
      <xdr:nvPicPr>
        <xdr:cNvPr id="2" name="그림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64435" y="242681"/>
          <a:ext cx="8940041" cy="4679373"/>
        </a:xfrm>
        <a:prstGeom prst="rect">
          <a:avLst/>
        </a:prstGeom>
        <a:ln w="38100">
          <a:solidFill>
            <a:sysClr val="windowText" lastClr="00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142875</xdr:colOff>
      <xdr:row>2</xdr:row>
      <xdr:rowOff>66675</xdr:rowOff>
    </xdr:from>
    <xdr:to>
      <xdr:col>3</xdr:col>
      <xdr:colOff>4095750</xdr:colOff>
      <xdr:row>21</xdr:row>
      <xdr:rowOff>66744</xdr:rowOff>
    </xdr:to>
    <xdr:pic>
      <xdr:nvPicPr>
        <xdr:cNvPr id="2" name="그림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200275" y="676275"/>
          <a:ext cx="3952875" cy="3981519"/>
        </a:xfrm>
        <a:prstGeom prst="rect">
          <a:avLst/>
        </a:prstGeom>
        <a:ln>
          <a:solidFill>
            <a:schemeClr val="accent1"/>
          </a:solidFill>
        </a:ln>
      </xdr:spPr>
    </xdr:pic>
    <xdr:clientData/>
  </xdr:twoCellAnchor>
  <xdr:twoCellAnchor editAs="oneCell">
    <xdr:from>
      <xdr:col>2</xdr:col>
      <xdr:colOff>123825</xdr:colOff>
      <xdr:row>25</xdr:row>
      <xdr:rowOff>133350</xdr:rowOff>
    </xdr:from>
    <xdr:to>
      <xdr:col>10</xdr:col>
      <xdr:colOff>581025</xdr:colOff>
      <xdr:row>59</xdr:row>
      <xdr:rowOff>171450</xdr:rowOff>
    </xdr:to>
    <xdr:pic>
      <xdr:nvPicPr>
        <xdr:cNvPr id="3" name="그림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5753100"/>
          <a:ext cx="10868025" cy="716280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76200</xdr:colOff>
      <xdr:row>63</xdr:row>
      <xdr:rowOff>133350</xdr:rowOff>
    </xdr:from>
    <xdr:to>
      <xdr:col>10</xdr:col>
      <xdr:colOff>542925</xdr:colOff>
      <xdr:row>94</xdr:row>
      <xdr:rowOff>38100</xdr:rowOff>
    </xdr:to>
    <xdr:pic>
      <xdr:nvPicPr>
        <xdr:cNvPr id="4" name="그림 3">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47800" y="13716000"/>
          <a:ext cx="10877550" cy="640080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omments" Target="../comments3.xml"/><Relationship Id="rId4" Type="http://schemas.openxmlformats.org/officeDocument/2006/relationships/vmlDrawing" Target="../drawings/vmlDrawing5.vml"/></Relationships>
</file>

<file path=xl/worksheets/_rels/sheet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vmlDrawing" Target="../drawings/vmlDrawing6.vml"/><Relationship Id="rId7" Type="http://schemas.openxmlformats.org/officeDocument/2006/relationships/oleObject" Target="../embeddings/oleObject2.bin"/><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image" Target="../media/image2.emf"/><Relationship Id="rId5" Type="http://schemas.openxmlformats.org/officeDocument/2006/relationships/oleObject" Target="../embeddings/oleObject1.bin"/><Relationship Id="rId4" Type="http://schemas.openxmlformats.org/officeDocument/2006/relationships/vmlDrawing" Target="../drawings/vmlDrawing7.vml"/><Relationship Id="rId9"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comments" Target="../comments5.xml"/><Relationship Id="rId4" Type="http://schemas.openxmlformats.org/officeDocument/2006/relationships/vmlDrawing" Target="../drawings/vmlDrawing9.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4"/>
  <sheetViews>
    <sheetView tabSelected="1" zoomScale="85" zoomScaleNormal="85" workbookViewId="0">
      <selection activeCell="D4" sqref="D4"/>
    </sheetView>
  </sheetViews>
  <sheetFormatPr defaultRowHeight="16.5"/>
  <cols>
    <col min="1" max="1" width="26.25" bestFit="1" customWidth="1"/>
    <col min="2" max="2" width="20.125" customWidth="1"/>
    <col min="3" max="3" width="31.875" customWidth="1"/>
    <col min="4" max="4" width="27.375" customWidth="1"/>
    <col min="5" max="5" width="44.875" customWidth="1"/>
  </cols>
  <sheetData>
    <row r="1" spans="1:6" ht="61.5" customHeight="1" thickBot="1">
      <c r="A1" s="1" t="s">
        <v>0</v>
      </c>
      <c r="B1" s="2"/>
      <c r="C1" s="2"/>
      <c r="D1" s="2"/>
      <c r="E1" s="3"/>
    </row>
    <row r="2" spans="1:6" ht="56.25" customHeight="1">
      <c r="A2" s="4" t="s">
        <v>1</v>
      </c>
      <c r="B2" s="5" t="s">
        <v>2</v>
      </c>
      <c r="C2" s="6"/>
      <c r="D2" s="7" t="s">
        <v>3</v>
      </c>
      <c r="E2" s="8" t="s">
        <v>4</v>
      </c>
    </row>
    <row r="3" spans="1:6" ht="56.25" customHeight="1">
      <c r="A3" s="9" t="s">
        <v>5</v>
      </c>
      <c r="B3" s="10" t="s">
        <v>6</v>
      </c>
      <c r="C3" s="11"/>
      <c r="D3" s="12" t="s">
        <v>7</v>
      </c>
      <c r="E3" s="13" t="s">
        <v>8</v>
      </c>
    </row>
    <row r="4" spans="1:6" ht="132">
      <c r="A4" s="9" t="s">
        <v>9</v>
      </c>
      <c r="B4" s="14" t="s">
        <v>10</v>
      </c>
      <c r="C4" s="15"/>
      <c r="D4" s="12" t="s">
        <v>11</v>
      </c>
      <c r="E4" s="16" t="s">
        <v>12</v>
      </c>
    </row>
    <row r="5" spans="1:6" ht="56.25" customHeight="1">
      <c r="A5" s="9" t="s">
        <v>13</v>
      </c>
      <c r="B5" s="14" t="s">
        <v>14</v>
      </c>
      <c r="C5" s="15"/>
      <c r="D5" s="12" t="s">
        <v>15</v>
      </c>
      <c r="E5" s="17" t="s">
        <v>16</v>
      </c>
    </row>
    <row r="6" spans="1:6" ht="56.25" customHeight="1">
      <c r="A6" s="9" t="s">
        <v>17</v>
      </c>
      <c r="B6" s="14" t="s">
        <v>18</v>
      </c>
      <c r="C6" s="15"/>
      <c r="D6" s="12" t="s">
        <v>19</v>
      </c>
      <c r="E6" s="17" t="s">
        <v>20</v>
      </c>
    </row>
    <row r="7" spans="1:6" ht="66">
      <c r="A7" s="9" t="s">
        <v>21</v>
      </c>
      <c r="B7" s="14" t="s">
        <v>22</v>
      </c>
      <c r="C7" s="15"/>
      <c r="D7" s="12" t="s">
        <v>23</v>
      </c>
      <c r="E7" s="17" t="s">
        <v>24</v>
      </c>
    </row>
    <row r="8" spans="1:6" ht="83.25" thickBot="1">
      <c r="A8" s="18" t="s">
        <v>25</v>
      </c>
      <c r="B8" s="19" t="s">
        <v>26</v>
      </c>
      <c r="C8" s="20"/>
      <c r="D8" s="21" t="s">
        <v>27</v>
      </c>
      <c r="E8" s="22" t="s">
        <v>28</v>
      </c>
    </row>
    <row r="9" spans="1:6" ht="17.25" thickBot="1">
      <c r="A9" s="23"/>
      <c r="B9" s="23"/>
      <c r="C9" s="23"/>
      <c r="D9" s="23"/>
      <c r="E9" s="23"/>
      <c r="F9" s="23"/>
    </row>
    <row r="10" spans="1:6" ht="31.5" customHeight="1">
      <c r="A10" s="24" t="s">
        <v>29</v>
      </c>
      <c r="B10" s="25"/>
      <c r="C10" s="25"/>
      <c r="D10" s="25"/>
      <c r="E10" s="26"/>
      <c r="F10" s="23"/>
    </row>
    <row r="11" spans="1:6" ht="24.75" customHeight="1">
      <c r="A11" s="27" t="s">
        <v>30</v>
      </c>
      <c r="B11" s="28" t="s">
        <v>31</v>
      </c>
      <c r="C11" s="28" t="s">
        <v>32</v>
      </c>
      <c r="D11" s="28" t="s">
        <v>33</v>
      </c>
      <c r="E11" s="29" t="s">
        <v>34</v>
      </c>
      <c r="F11" s="23"/>
    </row>
    <row r="12" spans="1:6">
      <c r="A12" s="30">
        <v>0.01</v>
      </c>
      <c r="B12" s="31">
        <f ca="1">TODAY()</f>
        <v>45742</v>
      </c>
      <c r="C12" s="32" t="s">
        <v>35</v>
      </c>
      <c r="D12" s="32" t="s">
        <v>36</v>
      </c>
      <c r="E12" s="33" t="s">
        <v>37</v>
      </c>
      <c r="F12" s="23"/>
    </row>
    <row r="13" spans="1:6">
      <c r="A13" s="34"/>
      <c r="B13" s="35"/>
      <c r="C13" s="35"/>
      <c r="D13" s="35"/>
      <c r="E13" s="36"/>
      <c r="F13" s="23"/>
    </row>
    <row r="14" spans="1:6">
      <c r="A14" s="34"/>
      <c r="B14" s="35"/>
      <c r="C14" s="35"/>
      <c r="D14" s="35"/>
      <c r="E14" s="36"/>
      <c r="F14" s="23"/>
    </row>
    <row r="15" spans="1:6">
      <c r="A15" s="34"/>
      <c r="B15" s="35"/>
      <c r="C15" s="35"/>
      <c r="D15" s="35"/>
      <c r="E15" s="36"/>
      <c r="F15" s="23"/>
    </row>
    <row r="16" spans="1:6">
      <c r="A16" s="34"/>
      <c r="B16" s="35"/>
      <c r="C16" s="35"/>
      <c r="D16" s="35"/>
      <c r="E16" s="36"/>
      <c r="F16" s="23"/>
    </row>
    <row r="17" spans="1:6">
      <c r="A17" s="34"/>
      <c r="B17" s="35"/>
      <c r="C17" s="35"/>
      <c r="D17" s="35"/>
      <c r="E17" s="36"/>
      <c r="F17" s="23"/>
    </row>
    <row r="18" spans="1:6">
      <c r="A18" s="34"/>
      <c r="B18" s="35"/>
      <c r="C18" s="35"/>
      <c r="D18" s="35"/>
      <c r="E18" s="36"/>
      <c r="F18" s="23"/>
    </row>
    <row r="19" spans="1:6">
      <c r="A19" s="37"/>
      <c r="B19" s="38"/>
      <c r="C19" s="38"/>
      <c r="D19" s="38"/>
      <c r="E19" s="39"/>
      <c r="F19" s="23"/>
    </row>
    <row r="20" spans="1:6">
      <c r="A20" s="37"/>
      <c r="B20" s="38"/>
      <c r="C20" s="38"/>
      <c r="D20" s="38"/>
      <c r="E20" s="39"/>
      <c r="F20" s="23"/>
    </row>
    <row r="21" spans="1:6">
      <c r="A21" s="37"/>
      <c r="B21" s="38"/>
      <c r="C21" s="38"/>
      <c r="D21" s="38"/>
      <c r="E21" s="39"/>
      <c r="F21" s="23"/>
    </row>
    <row r="22" spans="1:6">
      <c r="A22" s="37"/>
      <c r="B22" s="38"/>
      <c r="C22" s="38"/>
      <c r="D22" s="38"/>
      <c r="E22" s="39"/>
      <c r="F22" s="23"/>
    </row>
    <row r="23" spans="1:6" ht="17.25" thickBot="1">
      <c r="A23" s="40"/>
      <c r="B23" s="41"/>
      <c r="C23" s="41"/>
      <c r="D23" s="41"/>
      <c r="E23" s="42"/>
      <c r="F23" s="23"/>
    </row>
    <row r="24" spans="1:6">
      <c r="A24" s="23"/>
      <c r="B24" s="23"/>
      <c r="C24" s="23"/>
      <c r="D24" s="23"/>
      <c r="E24" s="23"/>
      <c r="F24" s="23"/>
    </row>
  </sheetData>
  <mergeCells count="9">
    <mergeCell ref="B7:C7"/>
    <mergeCell ref="B8:C8"/>
    <mergeCell ref="A10:E10"/>
    <mergeCell ref="A1:E1"/>
    <mergeCell ref="B2:C2"/>
    <mergeCell ref="B3:C3"/>
    <mergeCell ref="B4:C4"/>
    <mergeCell ref="B5:C5"/>
    <mergeCell ref="B6:C6"/>
  </mergeCells>
  <phoneticPr fontId="4"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45"/>
  <sheetViews>
    <sheetView workbookViewId="0">
      <selection activeCell="D4" sqref="D4"/>
    </sheetView>
  </sheetViews>
  <sheetFormatPr defaultRowHeight="16.5"/>
  <cols>
    <col min="1" max="1" width="21.625" bestFit="1" customWidth="1"/>
    <col min="8" max="8" width="2" customWidth="1"/>
    <col min="9" max="9" width="16.5" bestFit="1" customWidth="1"/>
    <col min="10" max="10" width="11.375" style="59" customWidth="1"/>
  </cols>
  <sheetData>
    <row r="1" spans="1:10" ht="62.25" customHeight="1" thickBot="1">
      <c r="A1" s="1" t="s">
        <v>38</v>
      </c>
      <c r="B1" s="2"/>
      <c r="C1" s="2"/>
      <c r="D1" s="2"/>
      <c r="E1" s="2"/>
      <c r="F1" s="2"/>
      <c r="G1" s="2"/>
      <c r="H1" s="2"/>
      <c r="I1" s="2"/>
      <c r="J1" s="3"/>
    </row>
    <row r="2" spans="1:10" ht="33.75" thickBot="1">
      <c r="A2" s="43" t="s">
        <v>39</v>
      </c>
      <c r="B2" s="44" t="s">
        <v>40</v>
      </c>
      <c r="C2" s="44" t="s">
        <v>41</v>
      </c>
      <c r="D2" s="44" t="s">
        <v>42</v>
      </c>
      <c r="E2" s="44" t="s">
        <v>43</v>
      </c>
      <c r="F2" s="44" t="s">
        <v>44</v>
      </c>
      <c r="G2" s="45" t="s">
        <v>45</v>
      </c>
      <c r="H2" s="46"/>
      <c r="I2" s="47" t="s">
        <v>46</v>
      </c>
      <c r="J2" s="45" t="s">
        <v>47</v>
      </c>
    </row>
    <row r="3" spans="1:10">
      <c r="A3" s="48" t="s">
        <v>48</v>
      </c>
      <c r="B3" s="48" t="s">
        <v>49</v>
      </c>
      <c r="C3" s="49">
        <v>0</v>
      </c>
      <c r="D3" s="49">
        <v>6</v>
      </c>
      <c r="E3" s="49">
        <v>0</v>
      </c>
      <c r="F3" s="49">
        <v>0</v>
      </c>
      <c r="G3" s="49">
        <v>6</v>
      </c>
      <c r="H3" s="50"/>
      <c r="I3" s="49">
        <v>0</v>
      </c>
      <c r="J3" s="51" t="str">
        <f>IF(I3&gt;0, "Fail", IF(I3=0,"Pass",""))</f>
        <v>Pass</v>
      </c>
    </row>
    <row r="4" spans="1:10">
      <c r="A4" s="52" t="s">
        <v>50</v>
      </c>
      <c r="B4" s="52" t="s">
        <v>51</v>
      </c>
      <c r="C4" s="49">
        <v>0</v>
      </c>
      <c r="D4" s="49">
        <v>2</v>
      </c>
      <c r="E4" s="49">
        <v>12</v>
      </c>
      <c r="F4" s="49">
        <v>2</v>
      </c>
      <c r="G4" s="49">
        <v>16</v>
      </c>
      <c r="H4" s="50"/>
      <c r="I4" s="53">
        <v>14</v>
      </c>
      <c r="J4" s="51" t="str">
        <f t="shared" ref="J4:J43" si="0">IF(I4&gt;0, "Fail", IF(I4=0,"Pass",""))</f>
        <v>Fail</v>
      </c>
    </row>
    <row r="5" spans="1:10">
      <c r="A5" s="52" t="s">
        <v>52</v>
      </c>
      <c r="B5" s="52" t="s">
        <v>53</v>
      </c>
      <c r="C5" s="49">
        <v>0</v>
      </c>
      <c r="D5" s="49">
        <v>7</v>
      </c>
      <c r="E5" s="49">
        <v>4</v>
      </c>
      <c r="F5" s="49">
        <v>0</v>
      </c>
      <c r="G5" s="49">
        <v>11</v>
      </c>
      <c r="H5" s="50"/>
      <c r="I5" s="53">
        <v>4</v>
      </c>
      <c r="J5" s="51" t="str">
        <f t="shared" si="0"/>
        <v>Fail</v>
      </c>
    </row>
    <row r="6" spans="1:10">
      <c r="A6" s="52" t="s">
        <v>54</v>
      </c>
      <c r="B6" s="52" t="s">
        <v>55</v>
      </c>
      <c r="C6" s="49">
        <v>0</v>
      </c>
      <c r="D6" s="49">
        <v>1</v>
      </c>
      <c r="E6" s="49">
        <v>0</v>
      </c>
      <c r="F6" s="49">
        <v>0</v>
      </c>
      <c r="G6" s="49">
        <v>1</v>
      </c>
      <c r="H6" s="50"/>
      <c r="I6" s="53">
        <v>0</v>
      </c>
      <c r="J6" s="51" t="str">
        <f t="shared" si="0"/>
        <v>Pass</v>
      </c>
    </row>
    <row r="7" spans="1:10">
      <c r="A7" s="52" t="s">
        <v>56</v>
      </c>
      <c r="B7" s="52" t="s">
        <v>57</v>
      </c>
      <c r="C7" s="49">
        <v>6</v>
      </c>
      <c r="D7" s="49">
        <v>12</v>
      </c>
      <c r="E7" s="49">
        <v>18</v>
      </c>
      <c r="F7" s="49">
        <v>14</v>
      </c>
      <c r="G7" s="49">
        <v>50</v>
      </c>
      <c r="H7" s="50"/>
      <c r="I7" s="53">
        <v>32</v>
      </c>
      <c r="J7" s="51" t="str">
        <f t="shared" si="0"/>
        <v>Fail</v>
      </c>
    </row>
    <row r="8" spans="1:10">
      <c r="A8" s="52" t="s">
        <v>58</v>
      </c>
      <c r="B8" s="52" t="s">
        <v>59</v>
      </c>
      <c r="C8" s="49">
        <v>0</v>
      </c>
      <c r="D8" s="49">
        <v>1</v>
      </c>
      <c r="E8" s="49">
        <v>1</v>
      </c>
      <c r="F8" s="49">
        <v>0</v>
      </c>
      <c r="G8" s="49">
        <v>2</v>
      </c>
      <c r="H8" s="50"/>
      <c r="I8" s="53">
        <v>1</v>
      </c>
      <c r="J8" s="51" t="str">
        <f t="shared" si="0"/>
        <v>Fail</v>
      </c>
    </row>
    <row r="9" spans="1:10">
      <c r="A9" s="52" t="s">
        <v>60</v>
      </c>
      <c r="B9" s="52" t="s">
        <v>61</v>
      </c>
      <c r="C9" s="49">
        <v>1</v>
      </c>
      <c r="D9" s="49">
        <v>5</v>
      </c>
      <c r="E9" s="49">
        <v>1</v>
      </c>
      <c r="F9" s="49">
        <v>3</v>
      </c>
      <c r="G9" s="49">
        <v>10</v>
      </c>
      <c r="H9" s="50"/>
      <c r="I9" s="53">
        <v>4</v>
      </c>
      <c r="J9" s="51" t="str">
        <f t="shared" si="0"/>
        <v>Fail</v>
      </c>
    </row>
    <row r="10" spans="1:10">
      <c r="A10" s="52" t="s">
        <v>62</v>
      </c>
      <c r="B10" s="52" t="s">
        <v>63</v>
      </c>
      <c r="C10" s="49">
        <v>0</v>
      </c>
      <c r="D10" s="49">
        <v>2</v>
      </c>
      <c r="E10" s="49">
        <v>2</v>
      </c>
      <c r="F10" s="49">
        <v>2</v>
      </c>
      <c r="G10" s="49">
        <v>6</v>
      </c>
      <c r="H10" s="50"/>
      <c r="I10" s="53">
        <v>4</v>
      </c>
      <c r="J10" s="51" t="str">
        <f t="shared" si="0"/>
        <v>Fail</v>
      </c>
    </row>
    <row r="11" spans="1:10">
      <c r="A11" s="52" t="s">
        <v>64</v>
      </c>
      <c r="B11" s="52">
        <v>2.79</v>
      </c>
      <c r="C11" s="49">
        <v>4</v>
      </c>
      <c r="D11" s="49">
        <v>3</v>
      </c>
      <c r="E11" s="49">
        <v>2</v>
      </c>
      <c r="F11" s="49">
        <v>0</v>
      </c>
      <c r="G11" s="49">
        <v>9</v>
      </c>
      <c r="H11" s="50"/>
      <c r="I11" s="53">
        <v>2</v>
      </c>
      <c r="J11" s="51" t="str">
        <f t="shared" si="0"/>
        <v>Fail</v>
      </c>
    </row>
    <row r="12" spans="1:10">
      <c r="A12" s="52" t="s">
        <v>65</v>
      </c>
      <c r="B12" s="52" t="s">
        <v>66</v>
      </c>
      <c r="C12" s="49">
        <v>0</v>
      </c>
      <c r="D12" s="49">
        <v>2</v>
      </c>
      <c r="E12" s="49">
        <v>0</v>
      </c>
      <c r="F12" s="49">
        <v>0</v>
      </c>
      <c r="G12" s="49">
        <v>2</v>
      </c>
      <c r="H12" s="50"/>
      <c r="I12" s="53">
        <v>0</v>
      </c>
      <c r="J12" s="51" t="str">
        <f t="shared" si="0"/>
        <v>Pass</v>
      </c>
    </row>
    <row r="13" spans="1:10">
      <c r="A13" s="52" t="s">
        <v>67</v>
      </c>
      <c r="B13" s="52" t="s">
        <v>68</v>
      </c>
      <c r="C13" s="49">
        <v>0</v>
      </c>
      <c r="D13" s="49">
        <v>0</v>
      </c>
      <c r="E13" s="49">
        <v>1</v>
      </c>
      <c r="F13" s="49">
        <v>0</v>
      </c>
      <c r="G13" s="49">
        <v>1</v>
      </c>
      <c r="H13" s="50"/>
      <c r="I13" s="53">
        <v>1</v>
      </c>
      <c r="J13" s="51" t="str">
        <f t="shared" si="0"/>
        <v>Fail</v>
      </c>
    </row>
    <row r="14" spans="1:10">
      <c r="A14" s="52" t="s">
        <v>69</v>
      </c>
      <c r="B14" s="52" t="s">
        <v>70</v>
      </c>
      <c r="C14" s="49">
        <v>0</v>
      </c>
      <c r="D14" s="49">
        <v>1</v>
      </c>
      <c r="E14" s="49">
        <v>4</v>
      </c>
      <c r="F14" s="49">
        <v>1</v>
      </c>
      <c r="G14" s="49">
        <v>6</v>
      </c>
      <c r="H14" s="50"/>
      <c r="I14" s="53">
        <v>5</v>
      </c>
      <c r="J14" s="51" t="str">
        <f t="shared" si="0"/>
        <v>Fail</v>
      </c>
    </row>
    <row r="15" spans="1:10" ht="27" customHeight="1">
      <c r="A15" s="52" t="s">
        <v>71</v>
      </c>
      <c r="B15" s="52" t="s">
        <v>72</v>
      </c>
      <c r="C15" s="49">
        <v>0</v>
      </c>
      <c r="D15" s="49">
        <v>1</v>
      </c>
      <c r="E15" s="49">
        <v>0</v>
      </c>
      <c r="F15" s="49">
        <v>0</v>
      </c>
      <c r="G15" s="49">
        <v>1</v>
      </c>
      <c r="H15" s="50"/>
      <c r="I15" s="53">
        <v>0</v>
      </c>
      <c r="J15" s="51" t="str">
        <f t="shared" si="0"/>
        <v>Pass</v>
      </c>
    </row>
    <row r="16" spans="1:10">
      <c r="A16" s="52" t="s">
        <v>73</v>
      </c>
      <c r="B16" s="52" t="s">
        <v>74</v>
      </c>
      <c r="C16" s="49">
        <v>0</v>
      </c>
      <c r="D16" s="49">
        <v>0</v>
      </c>
      <c r="E16" s="49">
        <v>1</v>
      </c>
      <c r="F16" s="49">
        <v>0</v>
      </c>
      <c r="G16" s="49">
        <v>1</v>
      </c>
      <c r="H16" s="50"/>
      <c r="I16" s="53">
        <v>1</v>
      </c>
      <c r="J16" s="51" t="str">
        <f t="shared" si="0"/>
        <v>Fail</v>
      </c>
    </row>
    <row r="17" spans="1:10">
      <c r="A17" s="52" t="s">
        <v>75</v>
      </c>
      <c r="B17" s="52">
        <v>2.2599999999999998</v>
      </c>
      <c r="C17" s="49">
        <v>1</v>
      </c>
      <c r="D17" s="49">
        <v>7</v>
      </c>
      <c r="E17" s="49">
        <v>14</v>
      </c>
      <c r="F17" s="49">
        <v>9</v>
      </c>
      <c r="G17" s="49">
        <v>31</v>
      </c>
      <c r="H17" s="50"/>
      <c r="I17" s="53">
        <v>23</v>
      </c>
      <c r="J17" s="51" t="str">
        <f t="shared" si="0"/>
        <v>Fail</v>
      </c>
    </row>
    <row r="18" spans="1:10">
      <c r="A18" s="52" t="s">
        <v>76</v>
      </c>
      <c r="B18" s="52" t="s">
        <v>77</v>
      </c>
      <c r="C18" s="49">
        <v>0</v>
      </c>
      <c r="D18" s="49">
        <v>1</v>
      </c>
      <c r="E18" s="49">
        <v>3</v>
      </c>
      <c r="F18" s="49">
        <v>0</v>
      </c>
      <c r="G18" s="49">
        <v>4</v>
      </c>
      <c r="H18" s="50"/>
      <c r="I18" s="53">
        <v>3</v>
      </c>
      <c r="J18" s="51" t="str">
        <f t="shared" si="0"/>
        <v>Fail</v>
      </c>
    </row>
    <row r="19" spans="1:10">
      <c r="A19" s="52" t="s">
        <v>78</v>
      </c>
      <c r="B19" s="52">
        <v>6.9</v>
      </c>
      <c r="C19" s="49">
        <v>0</v>
      </c>
      <c r="D19" s="49">
        <v>2</v>
      </c>
      <c r="E19" s="49">
        <v>2</v>
      </c>
      <c r="F19" s="49">
        <v>1</v>
      </c>
      <c r="G19" s="49">
        <v>5</v>
      </c>
      <c r="H19" s="50"/>
      <c r="I19" s="53">
        <v>3</v>
      </c>
      <c r="J19" s="51" t="str">
        <f t="shared" si="0"/>
        <v>Fail</v>
      </c>
    </row>
    <row r="20" spans="1:10">
      <c r="A20" s="52" t="s">
        <v>79</v>
      </c>
      <c r="B20" s="52" t="s">
        <v>80</v>
      </c>
      <c r="C20" s="49">
        <v>0</v>
      </c>
      <c r="D20" s="49">
        <v>0</v>
      </c>
      <c r="E20" s="49">
        <v>4</v>
      </c>
      <c r="F20" s="49">
        <v>4</v>
      </c>
      <c r="G20" s="49">
        <v>8</v>
      </c>
      <c r="H20" s="50"/>
      <c r="I20" s="53">
        <v>8</v>
      </c>
      <c r="J20" s="51" t="str">
        <f t="shared" si="0"/>
        <v>Fail</v>
      </c>
    </row>
    <row r="21" spans="1:10">
      <c r="A21" s="52" t="s">
        <v>81</v>
      </c>
      <c r="B21" s="52" t="s">
        <v>82</v>
      </c>
      <c r="C21" s="49">
        <v>0</v>
      </c>
      <c r="D21" s="49">
        <v>1</v>
      </c>
      <c r="E21" s="49">
        <v>3</v>
      </c>
      <c r="F21" s="49">
        <v>0</v>
      </c>
      <c r="G21" s="49">
        <v>4</v>
      </c>
      <c r="H21" s="50"/>
      <c r="I21" s="53">
        <v>3</v>
      </c>
      <c r="J21" s="51" t="str">
        <f t="shared" si="0"/>
        <v>Fail</v>
      </c>
    </row>
    <row r="22" spans="1:10">
      <c r="A22" s="52" t="s">
        <v>83</v>
      </c>
      <c r="B22" s="52" t="s">
        <v>84</v>
      </c>
      <c r="C22" s="49">
        <v>0</v>
      </c>
      <c r="D22" s="49">
        <v>1</v>
      </c>
      <c r="E22" s="49">
        <v>0</v>
      </c>
      <c r="F22" s="49">
        <v>0</v>
      </c>
      <c r="G22" s="49">
        <v>1</v>
      </c>
      <c r="H22" s="50"/>
      <c r="I22" s="53">
        <v>0</v>
      </c>
      <c r="J22" s="51" t="str">
        <f t="shared" si="0"/>
        <v>Pass</v>
      </c>
    </row>
    <row r="23" spans="1:10">
      <c r="A23" s="52" t="s">
        <v>85</v>
      </c>
      <c r="B23" s="52" t="s">
        <v>86</v>
      </c>
      <c r="C23" s="49">
        <v>0</v>
      </c>
      <c r="D23" s="49">
        <v>0</v>
      </c>
      <c r="E23" s="49">
        <v>1</v>
      </c>
      <c r="F23" s="49">
        <v>0</v>
      </c>
      <c r="G23" s="49">
        <v>1</v>
      </c>
      <c r="H23" s="50"/>
      <c r="I23" s="53">
        <v>1</v>
      </c>
      <c r="J23" s="51" t="str">
        <f t="shared" si="0"/>
        <v>Fail</v>
      </c>
    </row>
    <row r="24" spans="1:10">
      <c r="A24" s="52" t="s">
        <v>87</v>
      </c>
      <c r="B24" s="52" t="s">
        <v>88</v>
      </c>
      <c r="C24" s="49">
        <v>0</v>
      </c>
      <c r="D24" s="49">
        <v>1</v>
      </c>
      <c r="E24" s="49">
        <v>2</v>
      </c>
      <c r="F24" s="49">
        <v>0</v>
      </c>
      <c r="G24" s="49">
        <v>3</v>
      </c>
      <c r="H24" s="50"/>
      <c r="I24" s="53">
        <v>2</v>
      </c>
      <c r="J24" s="51" t="str">
        <f t="shared" si="0"/>
        <v>Fail</v>
      </c>
    </row>
    <row r="25" spans="1:10">
      <c r="A25" s="52" t="s">
        <v>89</v>
      </c>
      <c r="B25" s="52" t="s">
        <v>90</v>
      </c>
      <c r="C25" s="49">
        <v>0</v>
      </c>
      <c r="D25" s="49">
        <v>0</v>
      </c>
      <c r="E25" s="49">
        <v>2</v>
      </c>
      <c r="F25" s="49">
        <v>0</v>
      </c>
      <c r="G25" s="49">
        <v>2</v>
      </c>
      <c r="H25" s="50"/>
      <c r="I25" s="53">
        <v>2</v>
      </c>
      <c r="J25" s="51" t="str">
        <f t="shared" si="0"/>
        <v>Fail</v>
      </c>
    </row>
    <row r="26" spans="1:10">
      <c r="A26" s="52" t="s">
        <v>91</v>
      </c>
      <c r="B26" s="52" t="s">
        <v>92</v>
      </c>
      <c r="C26" s="49">
        <v>0</v>
      </c>
      <c r="D26" s="49">
        <v>4</v>
      </c>
      <c r="E26" s="49">
        <v>2</v>
      </c>
      <c r="F26" s="49">
        <v>0</v>
      </c>
      <c r="G26" s="49">
        <v>6</v>
      </c>
      <c r="H26" s="50"/>
      <c r="I26" s="53">
        <v>2</v>
      </c>
      <c r="J26" s="51" t="str">
        <f t="shared" si="0"/>
        <v>Fail</v>
      </c>
    </row>
    <row r="27" spans="1:10">
      <c r="A27" s="52" t="s">
        <v>93</v>
      </c>
      <c r="B27" s="52" t="s">
        <v>94</v>
      </c>
      <c r="C27" s="49">
        <v>0</v>
      </c>
      <c r="D27" s="49">
        <v>1</v>
      </c>
      <c r="E27" s="49">
        <v>0</v>
      </c>
      <c r="F27" s="49">
        <v>0</v>
      </c>
      <c r="G27" s="49">
        <v>1</v>
      </c>
      <c r="H27" s="50"/>
      <c r="I27" s="53">
        <v>0</v>
      </c>
      <c r="J27" s="51" t="str">
        <f t="shared" si="0"/>
        <v>Pass</v>
      </c>
    </row>
    <row r="28" spans="1:10">
      <c r="A28" s="52" t="s">
        <v>95</v>
      </c>
      <c r="B28" s="52" t="s">
        <v>96</v>
      </c>
      <c r="C28" s="49">
        <v>0</v>
      </c>
      <c r="D28" s="49">
        <v>0</v>
      </c>
      <c r="E28" s="49">
        <v>1</v>
      </c>
      <c r="F28" s="49">
        <v>0</v>
      </c>
      <c r="G28" s="49">
        <v>1</v>
      </c>
      <c r="H28" s="50"/>
      <c r="I28" s="53">
        <v>1</v>
      </c>
      <c r="J28" s="51" t="str">
        <f t="shared" si="0"/>
        <v>Fail</v>
      </c>
    </row>
    <row r="29" spans="1:10">
      <c r="A29" s="52" t="s">
        <v>97</v>
      </c>
      <c r="B29" s="52" t="s">
        <v>98</v>
      </c>
      <c r="C29" s="49">
        <v>0</v>
      </c>
      <c r="D29" s="49">
        <v>6</v>
      </c>
      <c r="E29" s="49">
        <v>4</v>
      </c>
      <c r="F29" s="49">
        <v>2</v>
      </c>
      <c r="G29" s="49">
        <v>12</v>
      </c>
      <c r="H29" s="50"/>
      <c r="I29" s="53">
        <v>6</v>
      </c>
      <c r="J29" s="51" t="str">
        <f t="shared" si="0"/>
        <v>Fail</v>
      </c>
    </row>
    <row r="30" spans="1:10">
      <c r="A30" s="52" t="s">
        <v>99</v>
      </c>
      <c r="B30" s="52" t="s">
        <v>100</v>
      </c>
      <c r="C30" s="49">
        <v>0</v>
      </c>
      <c r="D30" s="49">
        <v>3</v>
      </c>
      <c r="E30" s="49">
        <v>4</v>
      </c>
      <c r="F30" s="49">
        <v>0</v>
      </c>
      <c r="G30" s="49">
        <v>7</v>
      </c>
      <c r="H30" s="50"/>
      <c r="I30" s="53">
        <v>4</v>
      </c>
      <c r="J30" s="51" t="str">
        <f t="shared" si="0"/>
        <v>Fail</v>
      </c>
    </row>
    <row r="31" spans="1:10">
      <c r="A31" s="52" t="s">
        <v>101</v>
      </c>
      <c r="B31" s="52" t="s">
        <v>102</v>
      </c>
      <c r="C31" s="49">
        <v>34</v>
      </c>
      <c r="D31" s="49">
        <v>550</v>
      </c>
      <c r="E31" s="49">
        <v>360</v>
      </c>
      <c r="F31" s="49">
        <v>31</v>
      </c>
      <c r="G31" s="49">
        <v>975</v>
      </c>
      <c r="H31" s="50"/>
      <c r="I31" s="53">
        <v>391</v>
      </c>
      <c r="J31" s="51" t="str">
        <f t="shared" si="0"/>
        <v>Fail</v>
      </c>
    </row>
    <row r="32" spans="1:10">
      <c r="A32" s="52" t="s">
        <v>103</v>
      </c>
      <c r="B32" s="52" t="s">
        <v>104</v>
      </c>
      <c r="C32" s="49">
        <v>0</v>
      </c>
      <c r="D32" s="49">
        <v>0</v>
      </c>
      <c r="E32" s="49">
        <v>2</v>
      </c>
      <c r="F32" s="49">
        <v>0</v>
      </c>
      <c r="G32" s="49">
        <v>2</v>
      </c>
      <c r="H32" s="50"/>
      <c r="I32" s="53">
        <v>2</v>
      </c>
      <c r="J32" s="51" t="str">
        <f t="shared" si="0"/>
        <v>Fail</v>
      </c>
    </row>
    <row r="33" spans="1:10">
      <c r="A33" s="48" t="s">
        <v>105</v>
      </c>
      <c r="B33" s="48" t="s">
        <v>106</v>
      </c>
      <c r="C33" s="49">
        <v>0</v>
      </c>
      <c r="D33" s="49">
        <v>1</v>
      </c>
      <c r="E33" s="49">
        <v>1</v>
      </c>
      <c r="F33" s="49">
        <v>0</v>
      </c>
      <c r="G33" s="49">
        <v>2</v>
      </c>
      <c r="H33" s="50"/>
      <c r="I33" s="53">
        <v>1</v>
      </c>
      <c r="J33" s="51" t="str">
        <f t="shared" si="0"/>
        <v>Fail</v>
      </c>
    </row>
    <row r="34" spans="1:10">
      <c r="A34" s="48" t="s">
        <v>107</v>
      </c>
      <c r="B34" s="48">
        <v>6</v>
      </c>
      <c r="C34" s="49">
        <v>0</v>
      </c>
      <c r="D34" s="49">
        <v>8</v>
      </c>
      <c r="E34" s="49">
        <v>5</v>
      </c>
      <c r="F34" s="49">
        <v>2</v>
      </c>
      <c r="G34" s="49">
        <v>15</v>
      </c>
      <c r="H34" s="50"/>
      <c r="I34" s="53">
        <v>7</v>
      </c>
      <c r="J34" s="51" t="str">
        <f t="shared" si="0"/>
        <v>Fail</v>
      </c>
    </row>
    <row r="35" spans="1:10">
      <c r="A35" s="48" t="s">
        <v>108</v>
      </c>
      <c r="B35" s="48" t="s">
        <v>109</v>
      </c>
      <c r="C35" s="49">
        <v>0</v>
      </c>
      <c r="D35" s="49">
        <v>0</v>
      </c>
      <c r="E35" s="49">
        <v>4</v>
      </c>
      <c r="F35" s="49">
        <v>0</v>
      </c>
      <c r="G35" s="49">
        <v>4</v>
      </c>
      <c r="H35" s="50"/>
      <c r="I35" s="53">
        <v>4</v>
      </c>
      <c r="J35" s="51" t="str">
        <f t="shared" si="0"/>
        <v>Fail</v>
      </c>
    </row>
    <row r="36" spans="1:10">
      <c r="A36" s="48" t="s">
        <v>110</v>
      </c>
      <c r="B36" s="48" t="s">
        <v>111</v>
      </c>
      <c r="C36" s="49">
        <v>0</v>
      </c>
      <c r="D36" s="49">
        <v>18</v>
      </c>
      <c r="E36" s="49">
        <v>4</v>
      </c>
      <c r="F36" s="49">
        <v>0</v>
      </c>
      <c r="G36" s="49">
        <v>22</v>
      </c>
      <c r="H36" s="50"/>
      <c r="I36" s="53">
        <v>4</v>
      </c>
      <c r="J36" s="51" t="str">
        <f t="shared" si="0"/>
        <v>Fail</v>
      </c>
    </row>
    <row r="37" spans="1:10">
      <c r="A37" s="48" t="s">
        <v>112</v>
      </c>
      <c r="B37" s="48" t="s">
        <v>113</v>
      </c>
      <c r="C37" s="49">
        <v>6</v>
      </c>
      <c r="D37" s="49">
        <v>16</v>
      </c>
      <c r="E37" s="49">
        <v>6</v>
      </c>
      <c r="F37" s="49">
        <v>0</v>
      </c>
      <c r="G37" s="49">
        <v>28</v>
      </c>
      <c r="H37" s="50"/>
      <c r="I37" s="53">
        <v>6</v>
      </c>
      <c r="J37" s="51" t="str">
        <f t="shared" si="0"/>
        <v>Fail</v>
      </c>
    </row>
    <row r="38" spans="1:10">
      <c r="A38" s="48" t="s">
        <v>114</v>
      </c>
      <c r="B38" s="48">
        <v>8.41</v>
      </c>
      <c r="C38" s="49">
        <v>0</v>
      </c>
      <c r="D38" s="49">
        <v>2</v>
      </c>
      <c r="E38" s="49">
        <v>2</v>
      </c>
      <c r="F38" s="49">
        <v>0</v>
      </c>
      <c r="G38" s="49">
        <v>4</v>
      </c>
      <c r="H38" s="50"/>
      <c r="I38" s="53">
        <v>2</v>
      </c>
      <c r="J38" s="51" t="str">
        <f t="shared" si="0"/>
        <v>Fail</v>
      </c>
    </row>
    <row r="39" spans="1:10">
      <c r="A39" s="48" t="s">
        <v>115</v>
      </c>
      <c r="B39" s="48" t="s">
        <v>116</v>
      </c>
      <c r="C39" s="49">
        <v>0</v>
      </c>
      <c r="D39" s="49">
        <v>1</v>
      </c>
      <c r="E39" s="49">
        <v>0</v>
      </c>
      <c r="F39" s="49">
        <v>0</v>
      </c>
      <c r="G39" s="49">
        <v>1</v>
      </c>
      <c r="H39" s="50"/>
      <c r="I39" s="53">
        <v>0</v>
      </c>
      <c r="J39" s="51" t="str">
        <f t="shared" si="0"/>
        <v>Pass</v>
      </c>
    </row>
    <row r="40" spans="1:10">
      <c r="A40" s="48" t="s">
        <v>117</v>
      </c>
      <c r="B40" s="48" t="s">
        <v>118</v>
      </c>
      <c r="C40" s="49">
        <v>0</v>
      </c>
      <c r="D40" s="49">
        <v>0</v>
      </c>
      <c r="E40" s="49">
        <v>2</v>
      </c>
      <c r="F40" s="49">
        <v>2</v>
      </c>
      <c r="G40" s="49">
        <v>4</v>
      </c>
      <c r="H40" s="50"/>
      <c r="I40" s="53">
        <v>4</v>
      </c>
      <c r="J40" s="51" t="str">
        <f t="shared" si="0"/>
        <v>Fail</v>
      </c>
    </row>
    <row r="41" spans="1:10">
      <c r="A41" s="48" t="s">
        <v>119</v>
      </c>
      <c r="B41" s="48" t="s">
        <v>120</v>
      </c>
      <c r="C41" s="49">
        <v>0</v>
      </c>
      <c r="D41" s="49">
        <v>2</v>
      </c>
      <c r="E41" s="49">
        <v>0</v>
      </c>
      <c r="F41" s="49">
        <v>0</v>
      </c>
      <c r="G41" s="49">
        <v>2</v>
      </c>
      <c r="H41" s="50"/>
      <c r="I41" s="53">
        <v>0</v>
      </c>
      <c r="J41" s="51" t="str">
        <f t="shared" si="0"/>
        <v>Pass</v>
      </c>
    </row>
    <row r="42" spans="1:10">
      <c r="A42" s="48" t="s">
        <v>121</v>
      </c>
      <c r="B42" s="48" t="s">
        <v>122</v>
      </c>
      <c r="C42" s="49">
        <v>0</v>
      </c>
      <c r="D42" s="49">
        <v>3</v>
      </c>
      <c r="E42" s="49">
        <v>3</v>
      </c>
      <c r="F42" s="49">
        <v>0</v>
      </c>
      <c r="G42" s="49">
        <v>6</v>
      </c>
      <c r="H42" s="50"/>
      <c r="I42" s="53">
        <v>3</v>
      </c>
      <c r="J42" s="51" t="str">
        <f t="shared" si="0"/>
        <v>Fail</v>
      </c>
    </row>
    <row r="43" spans="1:10">
      <c r="A43" s="48" t="s">
        <v>123</v>
      </c>
      <c r="B43" s="48">
        <v>2.2999999999999998</v>
      </c>
      <c r="C43" s="49">
        <v>0</v>
      </c>
      <c r="D43" s="49">
        <v>2</v>
      </c>
      <c r="E43" s="49">
        <v>1</v>
      </c>
      <c r="F43" s="49">
        <v>0</v>
      </c>
      <c r="G43" s="49">
        <v>3</v>
      </c>
      <c r="H43" s="50"/>
      <c r="I43" s="53">
        <v>1</v>
      </c>
      <c r="J43" s="51" t="str">
        <f t="shared" si="0"/>
        <v>Fail</v>
      </c>
    </row>
    <row r="45" spans="1:10">
      <c r="A45" s="54" t="s">
        <v>45</v>
      </c>
      <c r="B45" s="55"/>
      <c r="C45" s="56">
        <f>SUM(C3:C43)</f>
        <v>52</v>
      </c>
      <c r="D45" s="56">
        <f t="shared" ref="D45:G45" si="1">SUM(D3:D43)</f>
        <v>673</v>
      </c>
      <c r="E45" s="56">
        <f t="shared" si="1"/>
        <v>478</v>
      </c>
      <c r="F45" s="56">
        <f t="shared" si="1"/>
        <v>73</v>
      </c>
      <c r="G45" s="56">
        <f t="shared" si="1"/>
        <v>1276</v>
      </c>
      <c r="I45" s="57">
        <f t="shared" ref="I45" si="2">SUM(I14:I44)</f>
        <v>489</v>
      </c>
      <c r="J45" s="58" t="str">
        <f>IF(I45&gt;0, "NG", IF(I45=0,"OK",""))</f>
        <v>NG</v>
      </c>
    </row>
  </sheetData>
  <mergeCells count="2">
    <mergeCell ref="A1:J1"/>
    <mergeCell ref="A45:B45"/>
  </mergeCells>
  <phoneticPr fontId="4" type="noConversion"/>
  <dataValidations count="1">
    <dataValidation type="whole" allowBlank="1" showInputMessage="1" showErrorMessage="1" sqref="C3:F43">
      <formula1>0</formula1>
      <formula2>999999</formula2>
    </dataValidation>
  </dataValidations>
  <pageMargins left="0.7" right="0.7" top="0.75" bottom="0.75" header="0.3" footer="0.3"/>
  <pageSetup paperSize="9" orientation="portrait" verticalDpi="0" r:id="rId1"/>
  <headerFooter>
    <oddHeader>&amp;C&amp;G</oddHeader>
    <oddFooter>&amp;C&amp;1#&amp;"맑은 고딕"&amp;6&amp;K737373태호 노 / 1621925@mobis.co.kr / 본 문서는 현대모비스의 대외비 정보자산이므로 무단 전재 및 복제할 수 없으며, 위반 시 당사 사규 및 관련 법규에 의해 제재될 수 있습니다.</oddFooter>
  </headerFooter>
  <drawing r:id="rId2"/>
  <legacyDrawing r:id="rId3"/>
  <legacyDrawingHF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46"/>
  <sheetViews>
    <sheetView workbookViewId="0">
      <selection activeCell="D4" sqref="D4"/>
    </sheetView>
  </sheetViews>
  <sheetFormatPr defaultRowHeight="16.5"/>
  <cols>
    <col min="1" max="1" width="21.625" bestFit="1" customWidth="1"/>
    <col min="8" max="8" width="2" customWidth="1"/>
    <col min="9" max="9" width="16.5" bestFit="1" customWidth="1"/>
    <col min="10" max="10" width="11.375" style="59" customWidth="1"/>
  </cols>
  <sheetData>
    <row r="1" spans="1:10" ht="59.25" customHeight="1" thickBot="1">
      <c r="A1" s="1" t="s">
        <v>124</v>
      </c>
      <c r="B1" s="2"/>
      <c r="C1" s="2"/>
      <c r="D1" s="2"/>
      <c r="E1" s="2"/>
      <c r="F1" s="2"/>
      <c r="G1" s="2"/>
      <c r="H1" s="2"/>
      <c r="I1" s="2"/>
      <c r="J1" s="3"/>
    </row>
    <row r="2" spans="1:10" ht="33.75" thickBot="1">
      <c r="A2" s="43" t="s">
        <v>125</v>
      </c>
      <c r="B2" s="44" t="s">
        <v>126</v>
      </c>
      <c r="C2" s="44" t="s">
        <v>127</v>
      </c>
      <c r="D2" s="44" t="s">
        <v>128</v>
      </c>
      <c r="E2" s="44" t="s">
        <v>129</v>
      </c>
      <c r="F2" s="44" t="s">
        <v>130</v>
      </c>
      <c r="G2" s="45" t="s">
        <v>131</v>
      </c>
      <c r="H2" s="46"/>
      <c r="I2" s="47" t="s">
        <v>132</v>
      </c>
      <c r="J2" s="45" t="s">
        <v>133</v>
      </c>
    </row>
    <row r="3" spans="1:10">
      <c r="A3" s="48" t="s">
        <v>134</v>
      </c>
      <c r="B3" s="48" t="s">
        <v>49</v>
      </c>
      <c r="C3" s="49">
        <v>0</v>
      </c>
      <c r="D3" s="49">
        <v>0</v>
      </c>
      <c r="E3" s="49">
        <v>0</v>
      </c>
      <c r="F3" s="49">
        <v>0</v>
      </c>
      <c r="G3" s="49">
        <v>0</v>
      </c>
      <c r="H3" s="50"/>
      <c r="I3" s="49">
        <f>E3+F3</f>
        <v>0</v>
      </c>
      <c r="J3" s="51" t="str">
        <f>IF(I3&gt;0, "Fail", IF(I3=0,"Pass",""))</f>
        <v>Pass</v>
      </c>
    </row>
    <row r="4" spans="1:10">
      <c r="A4" s="52" t="s">
        <v>50</v>
      </c>
      <c r="B4" s="52" t="s">
        <v>51</v>
      </c>
      <c r="C4" s="49">
        <v>0</v>
      </c>
      <c r="D4" s="49">
        <v>0</v>
      </c>
      <c r="E4" s="49">
        <v>0</v>
      </c>
      <c r="F4" s="49">
        <v>0</v>
      </c>
      <c r="G4" s="49">
        <v>0</v>
      </c>
      <c r="H4" s="50"/>
      <c r="I4" s="53">
        <f>E4+F4</f>
        <v>0</v>
      </c>
      <c r="J4" s="51" t="str">
        <f t="shared" ref="J4:J43" si="0">IF(I4&gt;0, "Fail", IF(I4=0,"Pass",""))</f>
        <v>Pass</v>
      </c>
    </row>
    <row r="5" spans="1:10">
      <c r="A5" s="52" t="s">
        <v>52</v>
      </c>
      <c r="B5" s="52" t="s">
        <v>53</v>
      </c>
      <c r="C5" s="49">
        <v>0</v>
      </c>
      <c r="D5" s="49">
        <v>0</v>
      </c>
      <c r="E5" s="49">
        <v>0</v>
      </c>
      <c r="F5" s="49">
        <v>0</v>
      </c>
      <c r="G5" s="49">
        <v>0</v>
      </c>
      <c r="H5" s="50"/>
      <c r="I5" s="53">
        <f t="shared" ref="I5:I43" si="1">E5+F5</f>
        <v>0</v>
      </c>
      <c r="J5" s="51" t="str">
        <f t="shared" si="0"/>
        <v>Pass</v>
      </c>
    </row>
    <row r="6" spans="1:10">
      <c r="A6" s="52" t="s">
        <v>54</v>
      </c>
      <c r="B6" s="52" t="s">
        <v>55</v>
      </c>
      <c r="C6" s="49">
        <v>0</v>
      </c>
      <c r="D6" s="49">
        <v>0</v>
      </c>
      <c r="E6" s="49">
        <v>0</v>
      </c>
      <c r="F6" s="49">
        <v>0</v>
      </c>
      <c r="G6" s="49">
        <v>0</v>
      </c>
      <c r="H6" s="50"/>
      <c r="I6" s="53">
        <f t="shared" si="1"/>
        <v>0</v>
      </c>
      <c r="J6" s="51" t="str">
        <f t="shared" si="0"/>
        <v>Pass</v>
      </c>
    </row>
    <row r="7" spans="1:10">
      <c r="A7" s="52" t="s">
        <v>56</v>
      </c>
      <c r="B7" s="52" t="s">
        <v>57</v>
      </c>
      <c r="C7" s="49">
        <v>0</v>
      </c>
      <c r="D7" s="49">
        <v>0</v>
      </c>
      <c r="E7" s="49">
        <v>0</v>
      </c>
      <c r="F7" s="49">
        <v>0</v>
      </c>
      <c r="G7" s="49">
        <v>0</v>
      </c>
      <c r="H7" s="50"/>
      <c r="I7" s="53">
        <f t="shared" si="1"/>
        <v>0</v>
      </c>
      <c r="J7" s="51" t="str">
        <f t="shared" si="0"/>
        <v>Pass</v>
      </c>
    </row>
    <row r="8" spans="1:10">
      <c r="A8" s="52" t="s">
        <v>58</v>
      </c>
      <c r="B8" s="52" t="s">
        <v>59</v>
      </c>
      <c r="C8" s="49">
        <v>0</v>
      </c>
      <c r="D8" s="49">
        <v>0</v>
      </c>
      <c r="E8" s="49">
        <v>0</v>
      </c>
      <c r="F8" s="49">
        <v>0</v>
      </c>
      <c r="G8" s="49">
        <v>0</v>
      </c>
      <c r="H8" s="50"/>
      <c r="I8" s="53">
        <f t="shared" si="1"/>
        <v>0</v>
      </c>
      <c r="J8" s="51" t="str">
        <f t="shared" si="0"/>
        <v>Pass</v>
      </c>
    </row>
    <row r="9" spans="1:10">
      <c r="A9" s="52" t="s">
        <v>60</v>
      </c>
      <c r="B9" s="52" t="s">
        <v>61</v>
      </c>
      <c r="C9" s="49">
        <v>0</v>
      </c>
      <c r="D9" s="49">
        <v>0</v>
      </c>
      <c r="E9" s="49">
        <v>0</v>
      </c>
      <c r="F9" s="49">
        <v>0</v>
      </c>
      <c r="G9" s="49">
        <v>0</v>
      </c>
      <c r="H9" s="50"/>
      <c r="I9" s="53">
        <f t="shared" si="1"/>
        <v>0</v>
      </c>
      <c r="J9" s="51" t="str">
        <f t="shared" si="0"/>
        <v>Pass</v>
      </c>
    </row>
    <row r="10" spans="1:10">
      <c r="A10" s="52" t="s">
        <v>62</v>
      </c>
      <c r="B10" s="52" t="s">
        <v>63</v>
      </c>
      <c r="C10" s="49">
        <v>0</v>
      </c>
      <c r="D10" s="49">
        <v>0</v>
      </c>
      <c r="E10" s="49">
        <v>0</v>
      </c>
      <c r="F10" s="49">
        <v>0</v>
      </c>
      <c r="G10" s="49">
        <v>0</v>
      </c>
      <c r="H10" s="50"/>
      <c r="I10" s="53">
        <f t="shared" si="1"/>
        <v>0</v>
      </c>
      <c r="J10" s="51" t="str">
        <f t="shared" si="0"/>
        <v>Pass</v>
      </c>
    </row>
    <row r="11" spans="1:10">
      <c r="A11" s="52" t="s">
        <v>64</v>
      </c>
      <c r="B11" s="52">
        <v>2.79</v>
      </c>
      <c r="C11" s="49">
        <v>0</v>
      </c>
      <c r="D11" s="49">
        <v>0</v>
      </c>
      <c r="E11" s="49">
        <v>0</v>
      </c>
      <c r="F11" s="49">
        <v>0</v>
      </c>
      <c r="G11" s="49">
        <v>0</v>
      </c>
      <c r="H11" s="50"/>
      <c r="I11" s="53">
        <f t="shared" si="1"/>
        <v>0</v>
      </c>
      <c r="J11" s="51" t="str">
        <f t="shared" si="0"/>
        <v>Pass</v>
      </c>
    </row>
    <row r="12" spans="1:10">
      <c r="A12" s="52" t="s">
        <v>65</v>
      </c>
      <c r="B12" s="52" t="s">
        <v>66</v>
      </c>
      <c r="C12" s="49">
        <v>0</v>
      </c>
      <c r="D12" s="49">
        <v>0</v>
      </c>
      <c r="E12" s="49">
        <v>0</v>
      </c>
      <c r="F12" s="49">
        <v>0</v>
      </c>
      <c r="G12" s="49">
        <v>0</v>
      </c>
      <c r="H12" s="50"/>
      <c r="I12" s="53">
        <f t="shared" si="1"/>
        <v>0</v>
      </c>
      <c r="J12" s="51" t="str">
        <f t="shared" si="0"/>
        <v>Pass</v>
      </c>
    </row>
    <row r="13" spans="1:10">
      <c r="A13" s="52" t="s">
        <v>67</v>
      </c>
      <c r="B13" s="52" t="s">
        <v>68</v>
      </c>
      <c r="C13" s="49">
        <v>0</v>
      </c>
      <c r="D13" s="49">
        <v>0</v>
      </c>
      <c r="E13" s="49">
        <v>0</v>
      </c>
      <c r="F13" s="49">
        <v>0</v>
      </c>
      <c r="G13" s="49">
        <v>0</v>
      </c>
      <c r="H13" s="50"/>
      <c r="I13" s="53">
        <f t="shared" si="1"/>
        <v>0</v>
      </c>
      <c r="J13" s="51" t="str">
        <f t="shared" si="0"/>
        <v>Pass</v>
      </c>
    </row>
    <row r="14" spans="1:10">
      <c r="A14" s="52" t="s">
        <v>69</v>
      </c>
      <c r="B14" s="52" t="s">
        <v>70</v>
      </c>
      <c r="C14" s="49">
        <v>0</v>
      </c>
      <c r="D14" s="49">
        <v>0</v>
      </c>
      <c r="E14" s="49">
        <v>0</v>
      </c>
      <c r="F14" s="49">
        <v>0</v>
      </c>
      <c r="G14" s="49">
        <v>0</v>
      </c>
      <c r="H14" s="50"/>
      <c r="I14" s="53">
        <f t="shared" si="1"/>
        <v>0</v>
      </c>
      <c r="J14" s="51" t="str">
        <f t="shared" si="0"/>
        <v>Pass</v>
      </c>
    </row>
    <row r="15" spans="1:10">
      <c r="A15" s="52" t="s">
        <v>71</v>
      </c>
      <c r="B15" s="52" t="s">
        <v>72</v>
      </c>
      <c r="C15" s="49">
        <v>0</v>
      </c>
      <c r="D15" s="49">
        <v>0</v>
      </c>
      <c r="E15" s="49">
        <v>0</v>
      </c>
      <c r="F15" s="49">
        <v>0</v>
      </c>
      <c r="G15" s="49">
        <v>0</v>
      </c>
      <c r="H15" s="50"/>
      <c r="I15" s="53">
        <f t="shared" si="1"/>
        <v>0</v>
      </c>
      <c r="J15" s="51" t="str">
        <f t="shared" si="0"/>
        <v>Pass</v>
      </c>
    </row>
    <row r="16" spans="1:10">
      <c r="A16" s="52" t="s">
        <v>73</v>
      </c>
      <c r="B16" s="52" t="s">
        <v>74</v>
      </c>
      <c r="C16" s="49">
        <v>0</v>
      </c>
      <c r="D16" s="49">
        <v>0</v>
      </c>
      <c r="E16" s="49">
        <v>0</v>
      </c>
      <c r="F16" s="49">
        <v>0</v>
      </c>
      <c r="G16" s="49">
        <v>0</v>
      </c>
      <c r="H16" s="50"/>
      <c r="I16" s="53">
        <f t="shared" si="1"/>
        <v>0</v>
      </c>
      <c r="J16" s="51" t="str">
        <f t="shared" si="0"/>
        <v>Pass</v>
      </c>
    </row>
    <row r="17" spans="1:10">
      <c r="A17" s="52" t="s">
        <v>75</v>
      </c>
      <c r="B17" s="52">
        <v>2.2599999999999998</v>
      </c>
      <c r="C17" s="49">
        <v>0</v>
      </c>
      <c r="D17" s="49">
        <v>0</v>
      </c>
      <c r="E17" s="49">
        <v>0</v>
      </c>
      <c r="F17" s="49">
        <v>0</v>
      </c>
      <c r="G17" s="49">
        <v>0</v>
      </c>
      <c r="H17" s="50"/>
      <c r="I17" s="53">
        <f t="shared" si="1"/>
        <v>0</v>
      </c>
      <c r="J17" s="51" t="str">
        <f t="shared" si="0"/>
        <v>Pass</v>
      </c>
    </row>
    <row r="18" spans="1:10">
      <c r="A18" s="52" t="s">
        <v>76</v>
      </c>
      <c r="B18" s="52" t="s">
        <v>77</v>
      </c>
      <c r="C18" s="49">
        <v>0</v>
      </c>
      <c r="D18" s="49">
        <v>0</v>
      </c>
      <c r="E18" s="49">
        <v>0</v>
      </c>
      <c r="F18" s="49">
        <v>0</v>
      </c>
      <c r="G18" s="49">
        <v>0</v>
      </c>
      <c r="H18" s="50"/>
      <c r="I18" s="53">
        <f t="shared" si="1"/>
        <v>0</v>
      </c>
      <c r="J18" s="51" t="str">
        <f t="shared" si="0"/>
        <v>Pass</v>
      </c>
    </row>
    <row r="19" spans="1:10">
      <c r="A19" s="52" t="s">
        <v>78</v>
      </c>
      <c r="B19" s="52">
        <v>6.9</v>
      </c>
      <c r="C19" s="49">
        <v>0</v>
      </c>
      <c r="D19" s="49">
        <v>0</v>
      </c>
      <c r="E19" s="49">
        <v>0</v>
      </c>
      <c r="F19" s="49">
        <v>0</v>
      </c>
      <c r="G19" s="49">
        <v>0</v>
      </c>
      <c r="H19" s="50"/>
      <c r="I19" s="53">
        <f t="shared" si="1"/>
        <v>0</v>
      </c>
      <c r="J19" s="51" t="str">
        <f t="shared" si="0"/>
        <v>Pass</v>
      </c>
    </row>
    <row r="20" spans="1:10">
      <c r="A20" s="52" t="s">
        <v>79</v>
      </c>
      <c r="B20" s="52" t="s">
        <v>80</v>
      </c>
      <c r="C20" s="49">
        <v>0</v>
      </c>
      <c r="D20" s="49">
        <v>0</v>
      </c>
      <c r="E20" s="49">
        <v>0</v>
      </c>
      <c r="F20" s="49">
        <v>0</v>
      </c>
      <c r="G20" s="49">
        <v>0</v>
      </c>
      <c r="H20" s="50"/>
      <c r="I20" s="53">
        <f t="shared" si="1"/>
        <v>0</v>
      </c>
      <c r="J20" s="51" t="str">
        <f t="shared" si="0"/>
        <v>Pass</v>
      </c>
    </row>
    <row r="21" spans="1:10">
      <c r="A21" s="52" t="s">
        <v>81</v>
      </c>
      <c r="B21" s="52" t="s">
        <v>82</v>
      </c>
      <c r="C21" s="49">
        <v>0</v>
      </c>
      <c r="D21" s="49">
        <v>0</v>
      </c>
      <c r="E21" s="49">
        <v>0</v>
      </c>
      <c r="F21" s="49">
        <v>0</v>
      </c>
      <c r="G21" s="49">
        <v>0</v>
      </c>
      <c r="H21" s="50"/>
      <c r="I21" s="53">
        <f t="shared" si="1"/>
        <v>0</v>
      </c>
      <c r="J21" s="51" t="str">
        <f t="shared" si="0"/>
        <v>Pass</v>
      </c>
    </row>
    <row r="22" spans="1:10">
      <c r="A22" s="52" t="s">
        <v>83</v>
      </c>
      <c r="B22" s="52" t="s">
        <v>84</v>
      </c>
      <c r="C22" s="49">
        <v>0</v>
      </c>
      <c r="D22" s="49">
        <v>0</v>
      </c>
      <c r="E22" s="49">
        <v>0</v>
      </c>
      <c r="F22" s="49">
        <v>0</v>
      </c>
      <c r="G22" s="49">
        <v>0</v>
      </c>
      <c r="H22" s="50"/>
      <c r="I22" s="53">
        <f t="shared" si="1"/>
        <v>0</v>
      </c>
      <c r="J22" s="51" t="str">
        <f t="shared" si="0"/>
        <v>Pass</v>
      </c>
    </row>
    <row r="23" spans="1:10">
      <c r="A23" s="52" t="s">
        <v>85</v>
      </c>
      <c r="B23" s="52" t="s">
        <v>86</v>
      </c>
      <c r="C23" s="49">
        <v>0</v>
      </c>
      <c r="D23" s="49">
        <v>0</v>
      </c>
      <c r="E23" s="49">
        <v>0</v>
      </c>
      <c r="F23" s="49">
        <v>0</v>
      </c>
      <c r="G23" s="49">
        <v>0</v>
      </c>
      <c r="H23" s="50"/>
      <c r="I23" s="53">
        <f t="shared" si="1"/>
        <v>0</v>
      </c>
      <c r="J23" s="51" t="str">
        <f t="shared" si="0"/>
        <v>Pass</v>
      </c>
    </row>
    <row r="24" spans="1:10">
      <c r="A24" s="52" t="s">
        <v>87</v>
      </c>
      <c r="B24" s="52" t="s">
        <v>88</v>
      </c>
      <c r="C24" s="49">
        <v>0</v>
      </c>
      <c r="D24" s="49">
        <v>0</v>
      </c>
      <c r="E24" s="49">
        <v>0</v>
      </c>
      <c r="F24" s="49">
        <v>0</v>
      </c>
      <c r="G24" s="49">
        <v>0</v>
      </c>
      <c r="H24" s="50"/>
      <c r="I24" s="53">
        <f t="shared" si="1"/>
        <v>0</v>
      </c>
      <c r="J24" s="51" t="str">
        <f t="shared" si="0"/>
        <v>Pass</v>
      </c>
    </row>
    <row r="25" spans="1:10">
      <c r="A25" s="52" t="s">
        <v>89</v>
      </c>
      <c r="B25" s="52" t="s">
        <v>90</v>
      </c>
      <c r="C25" s="49">
        <v>0</v>
      </c>
      <c r="D25" s="49">
        <v>0</v>
      </c>
      <c r="E25" s="49">
        <v>0</v>
      </c>
      <c r="F25" s="49">
        <v>0</v>
      </c>
      <c r="G25" s="49">
        <v>0</v>
      </c>
      <c r="H25" s="50"/>
      <c r="I25" s="53">
        <f t="shared" si="1"/>
        <v>0</v>
      </c>
      <c r="J25" s="51" t="str">
        <f t="shared" si="0"/>
        <v>Pass</v>
      </c>
    </row>
    <row r="26" spans="1:10">
      <c r="A26" s="52" t="s">
        <v>91</v>
      </c>
      <c r="B26" s="52" t="s">
        <v>92</v>
      </c>
      <c r="C26" s="49">
        <v>0</v>
      </c>
      <c r="D26" s="49">
        <v>0</v>
      </c>
      <c r="E26" s="49">
        <v>0</v>
      </c>
      <c r="F26" s="49">
        <v>0</v>
      </c>
      <c r="G26" s="49">
        <v>0</v>
      </c>
      <c r="H26" s="50"/>
      <c r="I26" s="53">
        <f t="shared" si="1"/>
        <v>0</v>
      </c>
      <c r="J26" s="51" t="str">
        <f t="shared" si="0"/>
        <v>Pass</v>
      </c>
    </row>
    <row r="27" spans="1:10">
      <c r="A27" s="52" t="s">
        <v>93</v>
      </c>
      <c r="B27" s="52" t="s">
        <v>94</v>
      </c>
      <c r="C27" s="49">
        <v>0</v>
      </c>
      <c r="D27" s="49">
        <v>0</v>
      </c>
      <c r="E27" s="49">
        <v>0</v>
      </c>
      <c r="F27" s="49">
        <v>0</v>
      </c>
      <c r="G27" s="49">
        <v>0</v>
      </c>
      <c r="H27" s="50"/>
      <c r="I27" s="53">
        <f t="shared" si="1"/>
        <v>0</v>
      </c>
      <c r="J27" s="51" t="str">
        <f t="shared" si="0"/>
        <v>Pass</v>
      </c>
    </row>
    <row r="28" spans="1:10">
      <c r="A28" s="52" t="s">
        <v>95</v>
      </c>
      <c r="B28" s="52" t="s">
        <v>96</v>
      </c>
      <c r="C28" s="49">
        <v>0</v>
      </c>
      <c r="D28" s="49">
        <v>0</v>
      </c>
      <c r="E28" s="49">
        <v>0</v>
      </c>
      <c r="F28" s="49">
        <v>0</v>
      </c>
      <c r="G28" s="49">
        <v>0</v>
      </c>
      <c r="H28" s="50"/>
      <c r="I28" s="53">
        <f t="shared" si="1"/>
        <v>0</v>
      </c>
      <c r="J28" s="51" t="str">
        <f t="shared" si="0"/>
        <v>Pass</v>
      </c>
    </row>
    <row r="29" spans="1:10">
      <c r="A29" s="52" t="s">
        <v>97</v>
      </c>
      <c r="B29" s="52" t="s">
        <v>98</v>
      </c>
      <c r="C29" s="49">
        <v>0</v>
      </c>
      <c r="D29" s="49">
        <v>0</v>
      </c>
      <c r="E29" s="49">
        <v>0</v>
      </c>
      <c r="F29" s="49">
        <v>0</v>
      </c>
      <c r="G29" s="49">
        <v>0</v>
      </c>
      <c r="H29" s="50"/>
      <c r="I29" s="53">
        <f t="shared" si="1"/>
        <v>0</v>
      </c>
      <c r="J29" s="51" t="str">
        <f t="shared" si="0"/>
        <v>Pass</v>
      </c>
    </row>
    <row r="30" spans="1:10">
      <c r="A30" s="52" t="s">
        <v>99</v>
      </c>
      <c r="B30" s="52" t="s">
        <v>100</v>
      </c>
      <c r="C30" s="49">
        <v>0</v>
      </c>
      <c r="D30" s="49">
        <v>0</v>
      </c>
      <c r="E30" s="49">
        <v>0</v>
      </c>
      <c r="F30" s="49">
        <v>0</v>
      </c>
      <c r="G30" s="49">
        <v>0</v>
      </c>
      <c r="H30" s="50"/>
      <c r="I30" s="53">
        <f t="shared" si="1"/>
        <v>0</v>
      </c>
      <c r="J30" s="51" t="str">
        <f t="shared" si="0"/>
        <v>Pass</v>
      </c>
    </row>
    <row r="31" spans="1:10">
      <c r="A31" s="52" t="s">
        <v>101</v>
      </c>
      <c r="B31" s="52" t="s">
        <v>102</v>
      </c>
      <c r="C31" s="49">
        <v>0</v>
      </c>
      <c r="D31" s="49">
        <v>0</v>
      </c>
      <c r="E31" s="49">
        <v>0</v>
      </c>
      <c r="F31" s="49">
        <v>0</v>
      </c>
      <c r="G31" s="49">
        <v>0</v>
      </c>
      <c r="H31" s="50"/>
      <c r="I31" s="53">
        <f t="shared" si="1"/>
        <v>0</v>
      </c>
      <c r="J31" s="51" t="str">
        <f t="shared" si="0"/>
        <v>Pass</v>
      </c>
    </row>
    <row r="32" spans="1:10">
      <c r="A32" s="52" t="s">
        <v>103</v>
      </c>
      <c r="B32" s="52" t="s">
        <v>104</v>
      </c>
      <c r="C32" s="49">
        <v>0</v>
      </c>
      <c r="D32" s="49">
        <v>0</v>
      </c>
      <c r="E32" s="49">
        <v>0</v>
      </c>
      <c r="F32" s="49">
        <v>0</v>
      </c>
      <c r="G32" s="49">
        <v>0</v>
      </c>
      <c r="H32" s="50"/>
      <c r="I32" s="53">
        <f t="shared" si="1"/>
        <v>0</v>
      </c>
      <c r="J32" s="51" t="str">
        <f t="shared" si="0"/>
        <v>Pass</v>
      </c>
    </row>
    <row r="33" spans="1:10">
      <c r="A33" s="48" t="s">
        <v>105</v>
      </c>
      <c r="B33" s="48" t="s">
        <v>106</v>
      </c>
      <c r="C33" s="49">
        <v>0</v>
      </c>
      <c r="D33" s="49">
        <v>0</v>
      </c>
      <c r="E33" s="49">
        <v>0</v>
      </c>
      <c r="F33" s="49">
        <v>0</v>
      </c>
      <c r="G33" s="49">
        <v>0</v>
      </c>
      <c r="H33" s="50"/>
      <c r="I33" s="53">
        <f t="shared" si="1"/>
        <v>0</v>
      </c>
      <c r="J33" s="51" t="str">
        <f t="shared" si="0"/>
        <v>Pass</v>
      </c>
    </row>
    <row r="34" spans="1:10">
      <c r="A34" s="48" t="s">
        <v>107</v>
      </c>
      <c r="B34" s="48">
        <v>6</v>
      </c>
      <c r="C34" s="49">
        <v>0</v>
      </c>
      <c r="D34" s="49">
        <v>0</v>
      </c>
      <c r="E34" s="49">
        <v>0</v>
      </c>
      <c r="F34" s="49">
        <v>0</v>
      </c>
      <c r="G34" s="49">
        <v>0</v>
      </c>
      <c r="H34" s="50"/>
      <c r="I34" s="53">
        <f t="shared" si="1"/>
        <v>0</v>
      </c>
      <c r="J34" s="51" t="str">
        <f t="shared" si="0"/>
        <v>Pass</v>
      </c>
    </row>
    <row r="35" spans="1:10">
      <c r="A35" s="48" t="s">
        <v>108</v>
      </c>
      <c r="B35" s="48" t="s">
        <v>109</v>
      </c>
      <c r="C35" s="49">
        <v>0</v>
      </c>
      <c r="D35" s="49">
        <v>0</v>
      </c>
      <c r="E35" s="49">
        <v>0</v>
      </c>
      <c r="F35" s="49">
        <v>0</v>
      </c>
      <c r="G35" s="49">
        <v>0</v>
      </c>
      <c r="H35" s="50"/>
      <c r="I35" s="53">
        <f t="shared" si="1"/>
        <v>0</v>
      </c>
      <c r="J35" s="51" t="str">
        <f t="shared" si="0"/>
        <v>Pass</v>
      </c>
    </row>
    <row r="36" spans="1:10">
      <c r="A36" s="48" t="s">
        <v>110</v>
      </c>
      <c r="B36" s="48" t="s">
        <v>111</v>
      </c>
      <c r="C36" s="49">
        <v>0</v>
      </c>
      <c r="D36" s="49">
        <v>0</v>
      </c>
      <c r="E36" s="49">
        <v>0</v>
      </c>
      <c r="F36" s="49">
        <v>0</v>
      </c>
      <c r="G36" s="49">
        <v>0</v>
      </c>
      <c r="H36" s="50"/>
      <c r="I36" s="53">
        <f t="shared" si="1"/>
        <v>0</v>
      </c>
      <c r="J36" s="51" t="str">
        <f t="shared" si="0"/>
        <v>Pass</v>
      </c>
    </row>
    <row r="37" spans="1:10">
      <c r="A37" s="48" t="s">
        <v>112</v>
      </c>
      <c r="B37" s="48" t="s">
        <v>113</v>
      </c>
      <c r="C37" s="49">
        <v>0</v>
      </c>
      <c r="D37" s="49">
        <v>0</v>
      </c>
      <c r="E37" s="49">
        <v>0</v>
      </c>
      <c r="F37" s="49">
        <v>0</v>
      </c>
      <c r="G37" s="49">
        <v>0</v>
      </c>
      <c r="H37" s="50"/>
      <c r="I37" s="53">
        <f t="shared" si="1"/>
        <v>0</v>
      </c>
      <c r="J37" s="51" t="str">
        <f t="shared" si="0"/>
        <v>Pass</v>
      </c>
    </row>
    <row r="38" spans="1:10">
      <c r="A38" s="48" t="s">
        <v>114</v>
      </c>
      <c r="B38" s="48">
        <v>8.41</v>
      </c>
      <c r="C38" s="49">
        <v>0</v>
      </c>
      <c r="D38" s="49">
        <v>0</v>
      </c>
      <c r="E38" s="49">
        <v>0</v>
      </c>
      <c r="F38" s="49">
        <v>0</v>
      </c>
      <c r="G38" s="49">
        <v>0</v>
      </c>
      <c r="H38" s="50"/>
      <c r="I38" s="53">
        <f t="shared" si="1"/>
        <v>0</v>
      </c>
      <c r="J38" s="51" t="str">
        <f t="shared" si="0"/>
        <v>Pass</v>
      </c>
    </row>
    <row r="39" spans="1:10">
      <c r="A39" s="48" t="s">
        <v>115</v>
      </c>
      <c r="B39" s="48" t="s">
        <v>116</v>
      </c>
      <c r="C39" s="49">
        <v>0</v>
      </c>
      <c r="D39" s="49">
        <v>0</v>
      </c>
      <c r="E39" s="49">
        <v>0</v>
      </c>
      <c r="F39" s="49">
        <v>0</v>
      </c>
      <c r="G39" s="49">
        <v>0</v>
      </c>
      <c r="H39" s="50"/>
      <c r="I39" s="53">
        <f t="shared" si="1"/>
        <v>0</v>
      </c>
      <c r="J39" s="51" t="str">
        <f t="shared" si="0"/>
        <v>Pass</v>
      </c>
    </row>
    <row r="40" spans="1:10">
      <c r="A40" s="48" t="s">
        <v>117</v>
      </c>
      <c r="B40" s="48" t="s">
        <v>118</v>
      </c>
      <c r="C40" s="49">
        <v>0</v>
      </c>
      <c r="D40" s="49">
        <v>0</v>
      </c>
      <c r="E40" s="49">
        <v>0</v>
      </c>
      <c r="F40" s="49">
        <v>0</v>
      </c>
      <c r="G40" s="49">
        <v>0</v>
      </c>
      <c r="H40" s="50"/>
      <c r="I40" s="53">
        <f t="shared" si="1"/>
        <v>0</v>
      </c>
      <c r="J40" s="51" t="str">
        <f t="shared" si="0"/>
        <v>Pass</v>
      </c>
    </row>
    <row r="41" spans="1:10">
      <c r="A41" s="48" t="s">
        <v>119</v>
      </c>
      <c r="B41" s="48" t="s">
        <v>120</v>
      </c>
      <c r="C41" s="49">
        <v>0</v>
      </c>
      <c r="D41" s="49">
        <v>0</v>
      </c>
      <c r="E41" s="49">
        <v>0</v>
      </c>
      <c r="F41" s="49">
        <v>0</v>
      </c>
      <c r="G41" s="49">
        <v>0</v>
      </c>
      <c r="H41" s="50"/>
      <c r="I41" s="53">
        <f t="shared" si="1"/>
        <v>0</v>
      </c>
      <c r="J41" s="51" t="str">
        <f t="shared" si="0"/>
        <v>Pass</v>
      </c>
    </row>
    <row r="42" spans="1:10">
      <c r="A42" s="48" t="s">
        <v>121</v>
      </c>
      <c r="B42" s="48" t="s">
        <v>122</v>
      </c>
      <c r="C42" s="49">
        <v>0</v>
      </c>
      <c r="D42" s="49">
        <v>0</v>
      </c>
      <c r="E42" s="49">
        <v>0</v>
      </c>
      <c r="F42" s="49">
        <v>0</v>
      </c>
      <c r="G42" s="49">
        <v>0</v>
      </c>
      <c r="H42" s="50"/>
      <c r="I42" s="53">
        <f t="shared" si="1"/>
        <v>0</v>
      </c>
      <c r="J42" s="51" t="str">
        <f t="shared" si="0"/>
        <v>Pass</v>
      </c>
    </row>
    <row r="43" spans="1:10">
      <c r="A43" s="48" t="s">
        <v>123</v>
      </c>
      <c r="B43" s="48">
        <v>2.2999999999999998</v>
      </c>
      <c r="C43" s="49">
        <v>0</v>
      </c>
      <c r="D43" s="49">
        <v>0</v>
      </c>
      <c r="E43" s="49">
        <v>0</v>
      </c>
      <c r="F43" s="49">
        <v>0</v>
      </c>
      <c r="G43" s="49">
        <v>0</v>
      </c>
      <c r="H43" s="50"/>
      <c r="I43" s="53">
        <f t="shared" si="1"/>
        <v>0</v>
      </c>
      <c r="J43" s="51" t="str">
        <f t="shared" si="0"/>
        <v>Pass</v>
      </c>
    </row>
    <row r="44" spans="1:10">
      <c r="C44" s="50"/>
      <c r="D44" s="50"/>
      <c r="E44" s="50"/>
      <c r="F44" s="50"/>
      <c r="G44" s="50"/>
      <c r="H44" s="50"/>
      <c r="I44" s="50"/>
    </row>
    <row r="45" spans="1:10">
      <c r="A45" s="54" t="s">
        <v>131</v>
      </c>
      <c r="B45" s="55"/>
      <c r="C45" s="53">
        <f>SUM(C3:C43)</f>
        <v>0</v>
      </c>
      <c r="D45" s="53">
        <f t="shared" ref="D45:G45" si="2">SUM(D3:D43)</f>
        <v>0</v>
      </c>
      <c r="E45" s="53">
        <f t="shared" si="2"/>
        <v>0</v>
      </c>
      <c r="F45" s="53">
        <f t="shared" si="2"/>
        <v>0</v>
      </c>
      <c r="G45" s="53">
        <f t="shared" si="2"/>
        <v>0</v>
      </c>
      <c r="H45" s="50"/>
      <c r="I45" s="57">
        <f t="shared" ref="I45" si="3">SUM(I14:I44)</f>
        <v>0</v>
      </c>
      <c r="J45" s="58" t="str">
        <f>IF(I45&gt;0, "NG", IF(I45=0,"OK",""))</f>
        <v>OK</v>
      </c>
    </row>
    <row r="46" spans="1:10">
      <c r="A46" t="s">
        <v>135</v>
      </c>
    </row>
  </sheetData>
  <mergeCells count="2">
    <mergeCell ref="A1:J1"/>
    <mergeCell ref="A45:B45"/>
  </mergeCells>
  <phoneticPr fontId="4" type="noConversion"/>
  <dataValidations count="1">
    <dataValidation type="whole" allowBlank="1" showInputMessage="1" showErrorMessage="1" sqref="C3:G43">
      <formula1>0</formula1>
      <formula2>999999</formula2>
    </dataValidation>
  </dataValidations>
  <pageMargins left="0.7" right="0.7" top="0.75" bottom="0.75" header="0.3" footer="0.3"/>
  <pageSetup paperSize="9" orientation="portrait" verticalDpi="0" r:id="rId1"/>
  <headerFooter>
    <oddHeader>&amp;C&amp;G</oddHeader>
    <oddFooter>&amp;C&amp;1#&amp;"맑은 고딕"&amp;6&amp;K737373태호 노 / 1621925@mobis.co.kr / 본 문서는 현대모비스의 대외비 정보자산이므로 무단 전재 및 복제할 수 없으며, 위반 시 당사 사규 및 관련 법규에 의해 제재될 수 있습니다.</oddFoot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C32"/>
  <sheetViews>
    <sheetView zoomScale="85" zoomScaleNormal="85" workbookViewId="0">
      <selection activeCell="D4" sqref="D4"/>
    </sheetView>
  </sheetViews>
  <sheetFormatPr defaultRowHeight="16.5"/>
  <cols>
    <col min="1" max="1" width="16" bestFit="1" customWidth="1"/>
    <col min="3" max="3" width="17.125" customWidth="1"/>
    <col min="4" max="4" width="19.125" bestFit="1" customWidth="1"/>
    <col min="5" max="5" width="12.375" bestFit="1" customWidth="1"/>
    <col min="6" max="6" width="64.625" customWidth="1"/>
    <col min="7" max="7" width="39.125" customWidth="1"/>
    <col min="8" max="8" width="12.875" style="59" customWidth="1"/>
    <col min="9" max="9" width="37.875" bestFit="1" customWidth="1"/>
  </cols>
  <sheetData>
    <row r="1" spans="1:1023 1025:2046 2049:3072 3075:4095 4098:6144 6146:7167 7170:8190 8193:9216 9219:10239 10241:11262 11265:12288 12291:13311 13314:15360 15362:16383" ht="50.25" customHeight="1" thickBot="1">
      <c r="A1" s="1" t="s">
        <v>136</v>
      </c>
      <c r="B1" s="2"/>
      <c r="C1" s="2"/>
      <c r="D1" s="2"/>
      <c r="E1" s="2"/>
      <c r="F1" s="2"/>
      <c r="G1" s="2"/>
      <c r="H1" s="2"/>
      <c r="I1" s="2"/>
    </row>
    <row r="2" spans="1:1023 1025:2046 2049:3072 3075:4095 4098:6144 6146:7167 7170:8190 8193:9216 9219:10239 10241:11262 11265:12288 12291:13311 13314:15360 15362:16383" ht="17.25" thickBot="1">
      <c r="A2" s="60" t="s">
        <v>137</v>
      </c>
      <c r="B2" s="61" t="s">
        <v>138</v>
      </c>
      <c r="C2" s="61" t="s">
        <v>139</v>
      </c>
      <c r="D2" s="61" t="s">
        <v>140</v>
      </c>
      <c r="E2" s="61" t="s">
        <v>141</v>
      </c>
      <c r="F2" s="61" t="s">
        <v>142</v>
      </c>
      <c r="G2" s="61" t="s">
        <v>143</v>
      </c>
      <c r="H2" s="62" t="s">
        <v>144</v>
      </c>
      <c r="I2" s="63" t="s">
        <v>145</v>
      </c>
    </row>
    <row r="3" spans="1:1023 1025:2046 2049:3072 3075:4095 4098:6144 6146:7167 7170:8190 8193:9216 9219:10239 10241:11262 11265:12288 12291:13311 13314:15360 15362:16383" ht="135">
      <c r="A3" s="48" t="s">
        <v>56</v>
      </c>
      <c r="B3" s="48" t="s">
        <v>57</v>
      </c>
      <c r="C3" s="64" t="s">
        <v>146</v>
      </c>
      <c r="D3" s="48">
        <v>9.8000000000000007</v>
      </c>
      <c r="E3" s="48" t="str">
        <f t="shared" ref="E3:E5" si="0">IF(D3&lt;4, "Low", IF(D3&lt;7, "Medium", IF(D3&lt;9, "High", "Critical")))</f>
        <v>Critical</v>
      </c>
      <c r="F3" s="65" t="s">
        <v>147</v>
      </c>
      <c r="G3" s="48" t="s">
        <v>148</v>
      </c>
      <c r="H3" s="66" t="s">
        <v>149</v>
      </c>
      <c r="I3" s="67" t="s">
        <v>150</v>
      </c>
    </row>
    <row r="4" spans="1:1023 1025:2046 2049:3072 3075:4095 4098:6144 6146:7167 7170:8190 8193:9216 9219:10239 10241:11262 11265:12288 12291:13311 13314:15360 15362:16383" ht="121.5">
      <c r="A4" s="48" t="s">
        <v>75</v>
      </c>
      <c r="B4" s="48">
        <v>2.2599999999999998</v>
      </c>
      <c r="C4" s="64" t="s">
        <v>151</v>
      </c>
      <c r="D4" s="48">
        <v>7.8</v>
      </c>
      <c r="E4" s="48" t="str">
        <f t="shared" si="0"/>
        <v>High</v>
      </c>
      <c r="F4" s="65" t="s">
        <v>152</v>
      </c>
      <c r="G4" s="48" t="s">
        <v>153</v>
      </c>
      <c r="H4" s="68" t="s">
        <v>154</v>
      </c>
      <c r="I4" s="65" t="s">
        <v>155</v>
      </c>
    </row>
    <row r="5" spans="1:1023 1025:2046 2049:3072 3075:4095 4098:6144 6146:7167 7170:8190 8193:9216 9219:10239 10241:11262 11265:12288 12291:13311 13314:15360 15362:16383" ht="40.5">
      <c r="A5" s="48" t="s">
        <v>103</v>
      </c>
      <c r="B5" s="48" t="s">
        <v>104</v>
      </c>
      <c r="C5" s="64" t="s">
        <v>156</v>
      </c>
      <c r="D5" s="48">
        <v>8.1</v>
      </c>
      <c r="E5" s="48" t="str">
        <f t="shared" si="0"/>
        <v>High</v>
      </c>
      <c r="F5" s="65" t="s">
        <v>157</v>
      </c>
      <c r="G5" s="48" t="s">
        <v>158</v>
      </c>
      <c r="H5" s="68" t="s">
        <v>149</v>
      </c>
      <c r="I5" s="65" t="s">
        <v>159</v>
      </c>
    </row>
    <row r="6" spans="1:1023 1025:2046 2049:3072 3075:4095 4098:6144 6146:7167 7170:8190 8193:9216 9219:10239 10241:11262 11265:12288 12291:13311 13314:15360 15362:16383" s="70" customFormat="1" ht="54">
      <c r="A6" s="48" t="s">
        <v>160</v>
      </c>
      <c r="B6" s="48" t="s">
        <v>161</v>
      </c>
      <c r="C6" s="64" t="s">
        <v>162</v>
      </c>
      <c r="D6" s="48">
        <v>9.8000000000000007</v>
      </c>
      <c r="E6" s="48" t="s">
        <v>130</v>
      </c>
      <c r="F6" s="65" t="s">
        <v>163</v>
      </c>
      <c r="G6" s="48" t="s">
        <v>164</v>
      </c>
      <c r="H6" s="68" t="s">
        <v>149</v>
      </c>
      <c r="I6" s="69" t="s">
        <v>165</v>
      </c>
      <c r="L6" s="71"/>
      <c r="O6" s="72"/>
      <c r="Q6" s="73"/>
      <c r="R6" s="72"/>
      <c r="U6" s="71"/>
      <c r="X6" s="72"/>
      <c r="Z6" s="73"/>
      <c r="AA6" s="72"/>
      <c r="AD6" s="71"/>
      <c r="AG6" s="72"/>
      <c r="AI6" s="73"/>
      <c r="AJ6" s="72"/>
      <c r="AM6" s="71"/>
      <c r="AP6" s="72"/>
      <c r="AR6" s="73"/>
      <c r="AS6" s="72"/>
      <c r="AV6" s="71"/>
      <c r="AY6" s="72"/>
      <c r="BA6" s="73"/>
      <c r="BB6" s="72"/>
      <c r="BE6" s="71"/>
      <c r="BH6" s="72"/>
      <c r="BJ6" s="73"/>
      <c r="BK6" s="72"/>
      <c r="BN6" s="71"/>
      <c r="BQ6" s="72"/>
      <c r="BS6" s="73"/>
      <c r="BT6" s="72"/>
      <c r="BW6" s="71"/>
      <c r="BZ6" s="72"/>
      <c r="CB6" s="73"/>
      <c r="CC6" s="72"/>
      <c r="CF6" s="71"/>
      <c r="CI6" s="72"/>
      <c r="CK6" s="73"/>
      <c r="CL6" s="72"/>
      <c r="CO6" s="71"/>
      <c r="CR6" s="72"/>
      <c r="CT6" s="73"/>
      <c r="CU6" s="72"/>
      <c r="CX6" s="71"/>
      <c r="DA6" s="72"/>
      <c r="DC6" s="73"/>
      <c r="DD6" s="72"/>
      <c r="DG6" s="71"/>
      <c r="DJ6" s="72"/>
      <c r="DL6" s="73"/>
      <c r="DM6" s="72"/>
      <c r="DP6" s="71"/>
      <c r="DS6" s="72"/>
      <c r="DU6" s="73"/>
      <c r="DV6" s="72"/>
      <c r="DY6" s="71"/>
      <c r="EB6" s="72"/>
      <c r="ED6" s="73"/>
      <c r="EE6" s="72"/>
      <c r="EH6" s="71"/>
      <c r="EK6" s="72"/>
      <c r="EM6" s="73"/>
      <c r="EN6" s="72"/>
      <c r="EQ6" s="71"/>
      <c r="ET6" s="72"/>
      <c r="EV6" s="73"/>
      <c r="EW6" s="72"/>
      <c r="EZ6" s="71"/>
      <c r="FC6" s="72"/>
      <c r="FE6" s="73"/>
      <c r="FF6" s="72"/>
      <c r="FI6" s="71"/>
      <c r="FL6" s="72"/>
      <c r="FN6" s="73"/>
      <c r="FO6" s="72"/>
      <c r="FR6" s="71"/>
      <c r="FU6" s="72"/>
      <c r="FW6" s="73"/>
      <c r="FX6" s="72"/>
      <c r="GA6" s="71"/>
      <c r="GD6" s="72"/>
      <c r="GF6" s="73"/>
      <c r="GG6" s="72"/>
      <c r="GJ6" s="71"/>
      <c r="GM6" s="72"/>
      <c r="GO6" s="73"/>
      <c r="GP6" s="72"/>
      <c r="GS6" s="71"/>
      <c r="GV6" s="72"/>
      <c r="GX6" s="73"/>
      <c r="GY6" s="72"/>
      <c r="HB6" s="71"/>
      <c r="HE6" s="72"/>
      <c r="HG6" s="73"/>
      <c r="HH6" s="72"/>
      <c r="HK6" s="71"/>
      <c r="HN6" s="72"/>
      <c r="HP6" s="73"/>
      <c r="HQ6" s="72"/>
      <c r="HT6" s="71"/>
      <c r="HW6" s="72"/>
      <c r="HY6" s="73"/>
      <c r="HZ6" s="72"/>
      <c r="IC6" s="71"/>
      <c r="IF6" s="72"/>
      <c r="IH6" s="73"/>
      <c r="II6" s="72"/>
      <c r="IL6" s="71"/>
      <c r="IO6" s="72"/>
      <c r="IQ6" s="73"/>
      <c r="IR6" s="72"/>
      <c r="IU6" s="71"/>
      <c r="IX6" s="72"/>
      <c r="IZ6" s="73"/>
      <c r="JA6" s="72"/>
      <c r="JD6" s="71"/>
      <c r="JG6" s="72"/>
      <c r="JI6" s="73"/>
      <c r="JJ6" s="72"/>
      <c r="JM6" s="71"/>
      <c r="JP6" s="72"/>
      <c r="JR6" s="73"/>
      <c r="JS6" s="72"/>
      <c r="JV6" s="71"/>
      <c r="JY6" s="72"/>
      <c r="KA6" s="73"/>
      <c r="KB6" s="72"/>
      <c r="KE6" s="71"/>
      <c r="KH6" s="72"/>
      <c r="KJ6" s="73"/>
      <c r="KK6" s="72"/>
      <c r="KN6" s="71"/>
      <c r="KQ6" s="72"/>
      <c r="KS6" s="73"/>
      <c r="KT6" s="72"/>
      <c r="KW6" s="71"/>
      <c r="KZ6" s="72"/>
      <c r="LB6" s="73"/>
      <c r="LC6" s="72"/>
      <c r="LF6" s="71"/>
      <c r="LI6" s="72"/>
      <c r="LK6" s="73"/>
      <c r="LL6" s="72"/>
      <c r="LO6" s="71"/>
      <c r="LR6" s="72"/>
      <c r="LT6" s="73"/>
      <c r="LU6" s="72"/>
      <c r="LX6" s="71"/>
      <c r="MA6" s="72"/>
      <c r="MC6" s="73"/>
      <c r="MD6" s="72"/>
      <c r="MG6" s="71"/>
      <c r="MJ6" s="72"/>
      <c r="ML6" s="73"/>
      <c r="MM6" s="72"/>
      <c r="MP6" s="71"/>
      <c r="MS6" s="72"/>
      <c r="MU6" s="73"/>
      <c r="MV6" s="72"/>
      <c r="MY6" s="71"/>
      <c r="NB6" s="72"/>
      <c r="ND6" s="73"/>
      <c r="NE6" s="72"/>
      <c r="NH6" s="71"/>
      <c r="NK6" s="72"/>
      <c r="NM6" s="73"/>
      <c r="NN6" s="72"/>
      <c r="NQ6" s="71"/>
      <c r="NT6" s="72"/>
      <c r="NV6" s="73"/>
      <c r="NW6" s="72"/>
      <c r="NZ6" s="71"/>
      <c r="OC6" s="72"/>
      <c r="OE6" s="73"/>
      <c r="OF6" s="72"/>
      <c r="OI6" s="71"/>
      <c r="OL6" s="72"/>
      <c r="ON6" s="73"/>
      <c r="OO6" s="72"/>
      <c r="OR6" s="71"/>
      <c r="OU6" s="72"/>
      <c r="OW6" s="73"/>
      <c r="OX6" s="72"/>
      <c r="PA6" s="71"/>
      <c r="PD6" s="72"/>
      <c r="PF6" s="73"/>
      <c r="PG6" s="72"/>
      <c r="PJ6" s="71"/>
      <c r="PM6" s="72"/>
      <c r="PO6" s="73"/>
      <c r="PP6" s="72"/>
      <c r="PS6" s="71"/>
      <c r="PV6" s="72"/>
      <c r="PX6" s="73"/>
      <c r="PY6" s="72"/>
      <c r="QB6" s="71"/>
      <c r="QE6" s="72"/>
      <c r="QG6" s="73"/>
      <c r="QH6" s="72"/>
      <c r="QK6" s="71"/>
      <c r="QN6" s="72"/>
      <c r="QP6" s="73"/>
      <c r="QQ6" s="72"/>
      <c r="QT6" s="71"/>
      <c r="QW6" s="72"/>
      <c r="QY6" s="73"/>
      <c r="QZ6" s="72"/>
      <c r="RC6" s="71"/>
      <c r="RF6" s="72"/>
      <c r="RH6" s="73"/>
      <c r="RI6" s="72"/>
      <c r="RL6" s="71"/>
      <c r="RO6" s="72"/>
      <c r="RQ6" s="73"/>
      <c r="RR6" s="72"/>
      <c r="RU6" s="71"/>
      <c r="RX6" s="72"/>
      <c r="RZ6" s="73"/>
      <c r="SA6" s="72"/>
      <c r="SD6" s="71"/>
      <c r="SG6" s="72"/>
      <c r="SI6" s="73"/>
      <c r="SJ6" s="72"/>
      <c r="SM6" s="71"/>
      <c r="SP6" s="72"/>
      <c r="SR6" s="73"/>
      <c r="SS6" s="72"/>
      <c r="SV6" s="71"/>
      <c r="SY6" s="72"/>
      <c r="TA6" s="73"/>
      <c r="TB6" s="72"/>
      <c r="TE6" s="71"/>
      <c r="TH6" s="72"/>
      <c r="TJ6" s="73"/>
      <c r="TK6" s="72"/>
      <c r="TN6" s="71"/>
      <c r="TQ6" s="72"/>
      <c r="TS6" s="73"/>
      <c r="TT6" s="72"/>
      <c r="TW6" s="71"/>
      <c r="TZ6" s="72"/>
      <c r="UB6" s="73"/>
      <c r="UC6" s="72"/>
      <c r="UF6" s="71"/>
      <c r="UI6" s="72"/>
      <c r="UK6" s="73"/>
      <c r="UL6" s="72"/>
      <c r="UO6" s="71"/>
      <c r="UR6" s="72"/>
      <c r="UT6" s="73"/>
      <c r="UU6" s="72"/>
      <c r="UX6" s="71"/>
      <c r="VA6" s="72"/>
      <c r="VC6" s="73"/>
      <c r="VD6" s="72"/>
      <c r="VG6" s="71"/>
      <c r="VJ6" s="72"/>
      <c r="VL6" s="73"/>
      <c r="VM6" s="72"/>
      <c r="VP6" s="71"/>
      <c r="VS6" s="72"/>
      <c r="VU6" s="73"/>
      <c r="VV6" s="72"/>
      <c r="VY6" s="71"/>
      <c r="WB6" s="72"/>
      <c r="WD6" s="73"/>
      <c r="WE6" s="72"/>
      <c r="WH6" s="71"/>
      <c r="WK6" s="72"/>
      <c r="WM6" s="73"/>
      <c r="WN6" s="72"/>
      <c r="WQ6" s="71"/>
      <c r="WT6" s="72"/>
      <c r="WV6" s="73"/>
      <c r="WW6" s="72"/>
      <c r="WZ6" s="71"/>
      <c r="XC6" s="72"/>
      <c r="XE6" s="73"/>
      <c r="XF6" s="72"/>
      <c r="XI6" s="71"/>
      <c r="XL6" s="72"/>
      <c r="XN6" s="73"/>
      <c r="XO6" s="72"/>
      <c r="XR6" s="71"/>
      <c r="XU6" s="72"/>
      <c r="XW6" s="73"/>
      <c r="XX6" s="72"/>
      <c r="YA6" s="71"/>
      <c r="YD6" s="72"/>
      <c r="YF6" s="73"/>
      <c r="YG6" s="72"/>
      <c r="YJ6" s="71"/>
      <c r="YM6" s="72"/>
      <c r="YO6" s="73"/>
      <c r="YP6" s="72"/>
      <c r="YS6" s="71"/>
      <c r="YV6" s="72"/>
      <c r="YX6" s="73"/>
      <c r="YY6" s="72"/>
      <c r="ZB6" s="71"/>
      <c r="ZE6" s="72"/>
      <c r="ZG6" s="73"/>
      <c r="ZH6" s="72"/>
      <c r="ZK6" s="71"/>
      <c r="ZN6" s="72"/>
      <c r="ZP6" s="73"/>
      <c r="ZQ6" s="72"/>
      <c r="ZT6" s="71"/>
      <c r="ZW6" s="72"/>
      <c r="ZY6" s="73"/>
      <c r="ZZ6" s="72"/>
      <c r="AAC6" s="71"/>
      <c r="AAF6" s="72"/>
      <c r="AAH6" s="73"/>
      <c r="AAI6" s="72"/>
      <c r="AAL6" s="71"/>
      <c r="AAO6" s="72"/>
      <c r="AAQ6" s="73"/>
      <c r="AAR6" s="72"/>
      <c r="AAU6" s="71"/>
      <c r="AAX6" s="72"/>
      <c r="AAZ6" s="73"/>
      <c r="ABA6" s="72"/>
      <c r="ABD6" s="71"/>
      <c r="ABG6" s="72"/>
      <c r="ABI6" s="73"/>
      <c r="ABJ6" s="72"/>
      <c r="ABM6" s="71"/>
      <c r="ABP6" s="72"/>
      <c r="ABR6" s="73"/>
      <c r="ABS6" s="72"/>
      <c r="ABV6" s="71"/>
      <c r="ABY6" s="72"/>
      <c r="ACA6" s="73"/>
      <c r="ACB6" s="72"/>
      <c r="ACE6" s="71"/>
      <c r="ACH6" s="72"/>
      <c r="ACJ6" s="73"/>
      <c r="ACK6" s="72"/>
      <c r="ACN6" s="71"/>
      <c r="ACQ6" s="72"/>
      <c r="ACS6" s="73"/>
      <c r="ACT6" s="72"/>
      <c r="ACW6" s="71"/>
      <c r="ACZ6" s="72"/>
      <c r="ADB6" s="73"/>
      <c r="ADC6" s="72"/>
      <c r="ADF6" s="71"/>
      <c r="ADI6" s="72"/>
      <c r="ADK6" s="73"/>
      <c r="ADL6" s="72"/>
      <c r="ADO6" s="71"/>
      <c r="ADR6" s="72"/>
      <c r="ADT6" s="73"/>
      <c r="ADU6" s="72"/>
      <c r="ADX6" s="71"/>
      <c r="AEA6" s="72"/>
      <c r="AEC6" s="73"/>
      <c r="AED6" s="72"/>
      <c r="AEG6" s="71"/>
      <c r="AEJ6" s="72"/>
      <c r="AEL6" s="73"/>
      <c r="AEM6" s="72"/>
      <c r="AEP6" s="71"/>
      <c r="AES6" s="72"/>
      <c r="AEU6" s="73"/>
      <c r="AEV6" s="72"/>
      <c r="AEY6" s="71"/>
      <c r="AFB6" s="72"/>
      <c r="AFD6" s="73"/>
      <c r="AFE6" s="72"/>
      <c r="AFH6" s="71"/>
      <c r="AFK6" s="72"/>
      <c r="AFM6" s="73"/>
      <c r="AFN6" s="72"/>
      <c r="AFQ6" s="71"/>
      <c r="AFT6" s="72"/>
      <c r="AFV6" s="73"/>
      <c r="AFW6" s="72"/>
      <c r="AFZ6" s="71"/>
      <c r="AGC6" s="72"/>
      <c r="AGE6" s="73"/>
      <c r="AGF6" s="72"/>
      <c r="AGI6" s="71"/>
      <c r="AGL6" s="72"/>
      <c r="AGN6" s="73"/>
      <c r="AGO6" s="72"/>
      <c r="AGR6" s="71"/>
      <c r="AGU6" s="72"/>
      <c r="AGW6" s="73"/>
      <c r="AGX6" s="72"/>
      <c r="AHA6" s="71"/>
      <c r="AHD6" s="72"/>
      <c r="AHF6" s="73"/>
      <c r="AHG6" s="72"/>
      <c r="AHJ6" s="71"/>
      <c r="AHM6" s="72"/>
      <c r="AHO6" s="73"/>
      <c r="AHP6" s="72"/>
      <c r="AHS6" s="71"/>
      <c r="AHV6" s="72"/>
      <c r="AHX6" s="73"/>
      <c r="AHY6" s="72"/>
      <c r="AIB6" s="71"/>
      <c r="AIE6" s="72"/>
      <c r="AIG6" s="73"/>
      <c r="AIH6" s="72"/>
      <c r="AIK6" s="71"/>
      <c r="AIN6" s="72"/>
      <c r="AIP6" s="73"/>
      <c r="AIQ6" s="72"/>
      <c r="AIT6" s="71"/>
      <c r="AIW6" s="72"/>
      <c r="AIY6" s="73"/>
      <c r="AIZ6" s="72"/>
      <c r="AJC6" s="71"/>
      <c r="AJF6" s="72"/>
      <c r="AJH6" s="73"/>
      <c r="AJI6" s="72"/>
      <c r="AJL6" s="71"/>
      <c r="AJO6" s="72"/>
      <c r="AJQ6" s="73"/>
      <c r="AJR6" s="72"/>
      <c r="AJU6" s="71"/>
      <c r="AJX6" s="72"/>
      <c r="AJZ6" s="73"/>
      <c r="AKA6" s="72"/>
      <c r="AKD6" s="71"/>
      <c r="AKG6" s="72"/>
      <c r="AKI6" s="73"/>
      <c r="AKJ6" s="72"/>
      <c r="AKM6" s="71"/>
      <c r="AKP6" s="72"/>
      <c r="AKR6" s="73"/>
      <c r="AKS6" s="72"/>
      <c r="AKV6" s="71"/>
      <c r="AKY6" s="72"/>
      <c r="ALA6" s="73"/>
      <c r="ALB6" s="72"/>
      <c r="ALE6" s="71"/>
      <c r="ALH6" s="72"/>
      <c r="ALJ6" s="73"/>
      <c r="ALK6" s="72"/>
      <c r="ALN6" s="71"/>
      <c r="ALQ6" s="72"/>
      <c r="ALS6" s="73"/>
      <c r="ALT6" s="72"/>
      <c r="ALW6" s="71"/>
      <c r="ALZ6" s="72"/>
      <c r="AMB6" s="73"/>
      <c r="AMC6" s="72"/>
      <c r="AMF6" s="71"/>
      <c r="AMI6" s="72"/>
      <c r="AMK6" s="73"/>
      <c r="AML6" s="72"/>
      <c r="AMO6" s="71"/>
      <c r="AMR6" s="72"/>
      <c r="AMT6" s="73"/>
      <c r="AMU6" s="72"/>
      <c r="AMX6" s="71"/>
      <c r="ANA6" s="72"/>
      <c r="ANC6" s="73"/>
      <c r="AND6" s="72"/>
      <c r="ANG6" s="71"/>
      <c r="ANJ6" s="72"/>
      <c r="ANL6" s="73"/>
      <c r="ANM6" s="72"/>
      <c r="ANP6" s="71"/>
      <c r="ANS6" s="72"/>
      <c r="ANU6" s="73"/>
      <c r="ANV6" s="72"/>
      <c r="ANY6" s="71"/>
      <c r="AOB6" s="72"/>
      <c r="AOD6" s="73"/>
      <c r="AOE6" s="72"/>
      <c r="AOH6" s="71"/>
      <c r="AOK6" s="72"/>
      <c r="AOM6" s="73"/>
      <c r="AON6" s="72"/>
      <c r="AOQ6" s="71"/>
      <c r="AOT6" s="72"/>
      <c r="AOV6" s="73"/>
      <c r="AOW6" s="72"/>
      <c r="AOZ6" s="71"/>
      <c r="APC6" s="72"/>
      <c r="APE6" s="73"/>
      <c r="APF6" s="72"/>
      <c r="API6" s="71"/>
      <c r="APL6" s="72"/>
      <c r="APN6" s="73"/>
      <c r="APO6" s="72"/>
      <c r="APR6" s="71"/>
      <c r="APU6" s="72"/>
      <c r="APW6" s="73"/>
      <c r="APX6" s="72"/>
      <c r="AQA6" s="71"/>
      <c r="AQD6" s="72"/>
      <c r="AQF6" s="73"/>
      <c r="AQG6" s="72"/>
      <c r="AQJ6" s="71"/>
      <c r="AQM6" s="72"/>
      <c r="AQO6" s="73"/>
      <c r="AQP6" s="72"/>
      <c r="AQS6" s="71"/>
      <c r="AQV6" s="72"/>
      <c r="AQX6" s="73"/>
      <c r="AQY6" s="72"/>
      <c r="ARB6" s="71"/>
      <c r="ARE6" s="72"/>
      <c r="ARG6" s="73"/>
      <c r="ARH6" s="72"/>
      <c r="ARK6" s="71"/>
      <c r="ARN6" s="72"/>
      <c r="ARP6" s="73"/>
      <c r="ARQ6" s="72"/>
      <c r="ART6" s="71"/>
      <c r="ARW6" s="72"/>
      <c r="ARY6" s="73"/>
      <c r="ARZ6" s="72"/>
      <c r="ASC6" s="71"/>
      <c r="ASF6" s="72"/>
      <c r="ASH6" s="73"/>
      <c r="ASI6" s="72"/>
      <c r="ASL6" s="71"/>
      <c r="ASO6" s="72"/>
      <c r="ASQ6" s="73"/>
      <c r="ASR6" s="72"/>
      <c r="ASU6" s="71"/>
      <c r="ASX6" s="72"/>
      <c r="ASZ6" s="73"/>
      <c r="ATA6" s="72"/>
      <c r="ATD6" s="71"/>
      <c r="ATG6" s="72"/>
      <c r="ATI6" s="73"/>
      <c r="ATJ6" s="72"/>
      <c r="ATM6" s="71"/>
      <c r="ATP6" s="72"/>
      <c r="ATR6" s="73"/>
      <c r="ATS6" s="72"/>
      <c r="ATV6" s="71"/>
      <c r="ATY6" s="72"/>
      <c r="AUA6" s="73"/>
      <c r="AUB6" s="72"/>
      <c r="AUE6" s="71"/>
      <c r="AUH6" s="72"/>
      <c r="AUJ6" s="73"/>
      <c r="AUK6" s="72"/>
      <c r="AUN6" s="71"/>
      <c r="AUQ6" s="72"/>
      <c r="AUS6" s="73"/>
      <c r="AUT6" s="72"/>
      <c r="AUW6" s="71"/>
      <c r="AUZ6" s="72"/>
      <c r="AVB6" s="73"/>
      <c r="AVC6" s="72"/>
      <c r="AVF6" s="71"/>
      <c r="AVI6" s="72"/>
      <c r="AVK6" s="73"/>
      <c r="AVL6" s="72"/>
      <c r="AVO6" s="71"/>
      <c r="AVR6" s="72"/>
      <c r="AVT6" s="73"/>
      <c r="AVU6" s="72"/>
      <c r="AVX6" s="71"/>
      <c r="AWA6" s="72"/>
      <c r="AWC6" s="73"/>
      <c r="AWD6" s="72"/>
      <c r="AWG6" s="71"/>
      <c r="AWJ6" s="72"/>
      <c r="AWL6" s="73"/>
      <c r="AWM6" s="72"/>
      <c r="AWP6" s="71"/>
      <c r="AWS6" s="72"/>
      <c r="AWU6" s="73"/>
      <c r="AWV6" s="72"/>
      <c r="AWY6" s="71"/>
      <c r="AXB6" s="72"/>
      <c r="AXD6" s="73"/>
      <c r="AXE6" s="72"/>
      <c r="AXH6" s="71"/>
      <c r="AXK6" s="72"/>
      <c r="AXM6" s="73"/>
      <c r="AXN6" s="72"/>
      <c r="AXQ6" s="71"/>
      <c r="AXT6" s="72"/>
      <c r="AXV6" s="73"/>
      <c r="AXW6" s="72"/>
      <c r="AXZ6" s="71"/>
      <c r="AYC6" s="72"/>
      <c r="AYE6" s="73"/>
      <c r="AYF6" s="72"/>
      <c r="AYI6" s="71"/>
      <c r="AYL6" s="72"/>
      <c r="AYN6" s="73"/>
      <c r="AYO6" s="72"/>
      <c r="AYR6" s="71"/>
      <c r="AYU6" s="72"/>
      <c r="AYW6" s="73"/>
      <c r="AYX6" s="72"/>
      <c r="AZA6" s="71"/>
      <c r="AZD6" s="72"/>
      <c r="AZF6" s="73"/>
      <c r="AZG6" s="72"/>
      <c r="AZJ6" s="71"/>
      <c r="AZM6" s="72"/>
      <c r="AZO6" s="73"/>
      <c r="AZP6" s="72"/>
      <c r="AZS6" s="71"/>
      <c r="AZV6" s="72"/>
      <c r="AZX6" s="73"/>
      <c r="AZY6" s="72"/>
      <c r="BAB6" s="71"/>
      <c r="BAE6" s="72"/>
      <c r="BAG6" s="73"/>
      <c r="BAH6" s="72"/>
      <c r="BAK6" s="71"/>
      <c r="BAN6" s="72"/>
      <c r="BAP6" s="73"/>
      <c r="BAQ6" s="72"/>
      <c r="BAT6" s="71"/>
      <c r="BAW6" s="72"/>
      <c r="BAY6" s="73"/>
      <c r="BAZ6" s="72"/>
      <c r="BBC6" s="71"/>
      <c r="BBF6" s="72"/>
      <c r="BBH6" s="73"/>
      <c r="BBI6" s="72"/>
      <c r="BBL6" s="71"/>
      <c r="BBO6" s="72"/>
      <c r="BBQ6" s="73"/>
      <c r="BBR6" s="72"/>
      <c r="BBU6" s="71"/>
      <c r="BBX6" s="72"/>
      <c r="BBZ6" s="73"/>
      <c r="BCA6" s="72"/>
      <c r="BCD6" s="71"/>
      <c r="BCG6" s="72"/>
      <c r="BCI6" s="73"/>
      <c r="BCJ6" s="72"/>
      <c r="BCM6" s="71"/>
      <c r="BCP6" s="72"/>
      <c r="BCR6" s="73"/>
      <c r="BCS6" s="72"/>
      <c r="BCV6" s="71"/>
      <c r="BCY6" s="72"/>
      <c r="BDA6" s="73"/>
      <c r="BDB6" s="72"/>
      <c r="BDE6" s="71"/>
      <c r="BDH6" s="72"/>
      <c r="BDJ6" s="73"/>
      <c r="BDK6" s="72"/>
      <c r="BDN6" s="71"/>
      <c r="BDQ6" s="72"/>
      <c r="BDS6" s="73"/>
      <c r="BDT6" s="72"/>
      <c r="BDW6" s="71"/>
      <c r="BDZ6" s="72"/>
      <c r="BEB6" s="73"/>
      <c r="BEC6" s="72"/>
      <c r="BEF6" s="71"/>
      <c r="BEI6" s="72"/>
      <c r="BEK6" s="73"/>
      <c r="BEL6" s="72"/>
      <c r="BEO6" s="71"/>
      <c r="BER6" s="72"/>
      <c r="BET6" s="73"/>
      <c r="BEU6" s="72"/>
      <c r="BEX6" s="71"/>
      <c r="BFA6" s="72"/>
      <c r="BFC6" s="73"/>
      <c r="BFD6" s="72"/>
      <c r="BFG6" s="71"/>
      <c r="BFJ6" s="72"/>
      <c r="BFL6" s="73"/>
      <c r="BFM6" s="72"/>
      <c r="BFP6" s="71"/>
      <c r="BFS6" s="72"/>
      <c r="BFU6" s="73"/>
      <c r="BFV6" s="72"/>
      <c r="BFY6" s="71"/>
      <c r="BGB6" s="72"/>
      <c r="BGD6" s="73"/>
      <c r="BGE6" s="72"/>
      <c r="BGH6" s="71"/>
      <c r="BGK6" s="72"/>
      <c r="BGM6" s="73"/>
      <c r="BGN6" s="72"/>
      <c r="BGQ6" s="71"/>
      <c r="BGT6" s="72"/>
      <c r="BGV6" s="73"/>
      <c r="BGW6" s="72"/>
      <c r="BGZ6" s="71"/>
      <c r="BHC6" s="72"/>
      <c r="BHE6" s="73"/>
      <c r="BHF6" s="72"/>
      <c r="BHI6" s="71"/>
      <c r="BHL6" s="72"/>
      <c r="BHN6" s="73"/>
      <c r="BHO6" s="72"/>
      <c r="BHR6" s="71"/>
      <c r="BHU6" s="72"/>
      <c r="BHW6" s="73"/>
      <c r="BHX6" s="72"/>
      <c r="BIA6" s="71"/>
      <c r="BID6" s="72"/>
      <c r="BIF6" s="73"/>
      <c r="BIG6" s="72"/>
      <c r="BIJ6" s="71"/>
      <c r="BIM6" s="72"/>
      <c r="BIO6" s="73"/>
      <c r="BIP6" s="72"/>
      <c r="BIS6" s="71"/>
      <c r="BIV6" s="72"/>
      <c r="BIX6" s="73"/>
      <c r="BIY6" s="72"/>
      <c r="BJB6" s="71"/>
      <c r="BJE6" s="72"/>
      <c r="BJG6" s="73"/>
      <c r="BJH6" s="72"/>
      <c r="BJK6" s="71"/>
      <c r="BJN6" s="72"/>
      <c r="BJP6" s="73"/>
      <c r="BJQ6" s="72"/>
      <c r="BJT6" s="71"/>
      <c r="BJW6" s="72"/>
      <c r="BJY6" s="73"/>
      <c r="BJZ6" s="72"/>
      <c r="BKC6" s="71"/>
      <c r="BKF6" s="72"/>
      <c r="BKH6" s="73"/>
      <c r="BKI6" s="72"/>
      <c r="BKL6" s="71"/>
      <c r="BKO6" s="72"/>
      <c r="BKQ6" s="73"/>
      <c r="BKR6" s="72"/>
      <c r="BKU6" s="71"/>
      <c r="BKX6" s="72"/>
      <c r="BKZ6" s="73"/>
      <c r="BLA6" s="72"/>
      <c r="BLD6" s="71"/>
      <c r="BLG6" s="72"/>
      <c r="BLI6" s="73"/>
      <c r="BLJ6" s="72"/>
      <c r="BLM6" s="71"/>
      <c r="BLP6" s="72"/>
      <c r="BLR6" s="73"/>
      <c r="BLS6" s="72"/>
      <c r="BLV6" s="71"/>
      <c r="BLY6" s="72"/>
      <c r="BMA6" s="73"/>
      <c r="BMB6" s="72"/>
      <c r="BME6" s="71"/>
      <c r="BMH6" s="72"/>
      <c r="BMJ6" s="73"/>
      <c r="BMK6" s="72"/>
      <c r="BMN6" s="71"/>
      <c r="BMQ6" s="72"/>
      <c r="BMS6" s="73"/>
      <c r="BMT6" s="72"/>
      <c r="BMW6" s="71"/>
      <c r="BMZ6" s="72"/>
      <c r="BNB6" s="73"/>
      <c r="BNC6" s="72"/>
      <c r="BNF6" s="71"/>
      <c r="BNI6" s="72"/>
      <c r="BNK6" s="73"/>
      <c r="BNL6" s="72"/>
      <c r="BNO6" s="71"/>
      <c r="BNR6" s="72"/>
      <c r="BNT6" s="73"/>
      <c r="BNU6" s="72"/>
      <c r="BNX6" s="71"/>
      <c r="BOA6" s="72"/>
      <c r="BOC6" s="73"/>
      <c r="BOD6" s="72"/>
      <c r="BOG6" s="71"/>
      <c r="BOJ6" s="72"/>
      <c r="BOL6" s="73"/>
      <c r="BOM6" s="72"/>
      <c r="BOP6" s="71"/>
      <c r="BOS6" s="72"/>
      <c r="BOU6" s="73"/>
      <c r="BOV6" s="72"/>
      <c r="BOY6" s="71"/>
      <c r="BPB6" s="72"/>
      <c r="BPD6" s="73"/>
      <c r="BPE6" s="72"/>
      <c r="BPH6" s="71"/>
      <c r="BPK6" s="72"/>
      <c r="BPM6" s="73"/>
      <c r="BPN6" s="72"/>
      <c r="BPQ6" s="71"/>
      <c r="BPT6" s="72"/>
      <c r="BPV6" s="73"/>
      <c r="BPW6" s="72"/>
      <c r="BPZ6" s="71"/>
      <c r="BQC6" s="72"/>
      <c r="BQE6" s="73"/>
      <c r="BQF6" s="72"/>
      <c r="BQI6" s="71"/>
      <c r="BQL6" s="72"/>
      <c r="BQN6" s="73"/>
      <c r="BQO6" s="72"/>
      <c r="BQR6" s="71"/>
      <c r="BQU6" s="72"/>
      <c r="BQW6" s="73"/>
      <c r="BQX6" s="72"/>
      <c r="BRA6" s="71"/>
      <c r="BRD6" s="72"/>
      <c r="BRF6" s="73"/>
      <c r="BRG6" s="72"/>
      <c r="BRJ6" s="71"/>
      <c r="BRM6" s="72"/>
      <c r="BRO6" s="73"/>
      <c r="BRP6" s="72"/>
      <c r="BRS6" s="71"/>
      <c r="BRV6" s="72"/>
      <c r="BRX6" s="73"/>
      <c r="BRY6" s="72"/>
      <c r="BSB6" s="71"/>
      <c r="BSE6" s="72"/>
      <c r="BSG6" s="73"/>
      <c r="BSH6" s="72"/>
      <c r="BSK6" s="71"/>
      <c r="BSN6" s="72"/>
      <c r="BSP6" s="73"/>
      <c r="BSQ6" s="72"/>
      <c r="BST6" s="71"/>
      <c r="BSW6" s="72"/>
      <c r="BSY6" s="73"/>
      <c r="BSZ6" s="72"/>
      <c r="BTC6" s="71"/>
      <c r="BTF6" s="72"/>
      <c r="BTH6" s="73"/>
      <c r="BTI6" s="72"/>
      <c r="BTL6" s="71"/>
      <c r="BTO6" s="72"/>
      <c r="BTQ6" s="73"/>
      <c r="BTR6" s="72"/>
      <c r="BTU6" s="71"/>
      <c r="BTX6" s="72"/>
      <c r="BTZ6" s="73"/>
      <c r="BUA6" s="72"/>
      <c r="BUD6" s="71"/>
      <c r="BUG6" s="72"/>
      <c r="BUI6" s="73"/>
      <c r="BUJ6" s="72"/>
      <c r="BUM6" s="71"/>
      <c r="BUP6" s="72"/>
      <c r="BUR6" s="73"/>
      <c r="BUS6" s="72"/>
      <c r="BUV6" s="71"/>
      <c r="BUY6" s="72"/>
      <c r="BVA6" s="73"/>
      <c r="BVB6" s="72"/>
      <c r="BVE6" s="71"/>
      <c r="BVH6" s="72"/>
      <c r="BVJ6" s="73"/>
      <c r="BVK6" s="72"/>
      <c r="BVN6" s="71"/>
      <c r="BVQ6" s="72"/>
      <c r="BVS6" s="73"/>
      <c r="BVT6" s="72"/>
      <c r="BVW6" s="71"/>
      <c r="BVZ6" s="72"/>
      <c r="BWB6" s="73"/>
      <c r="BWC6" s="72"/>
      <c r="BWF6" s="71"/>
      <c r="BWI6" s="72"/>
      <c r="BWK6" s="73"/>
      <c r="BWL6" s="72"/>
      <c r="BWO6" s="71"/>
      <c r="BWR6" s="72"/>
      <c r="BWT6" s="73"/>
      <c r="BWU6" s="72"/>
      <c r="BWX6" s="71"/>
      <c r="BXA6" s="72"/>
      <c r="BXC6" s="73"/>
      <c r="BXD6" s="72"/>
      <c r="BXG6" s="71"/>
      <c r="BXJ6" s="72"/>
      <c r="BXL6" s="73"/>
      <c r="BXM6" s="72"/>
      <c r="BXP6" s="71"/>
      <c r="BXS6" s="72"/>
      <c r="BXU6" s="73"/>
      <c r="BXV6" s="72"/>
      <c r="BXY6" s="71"/>
      <c r="BYB6" s="72"/>
      <c r="BYD6" s="73"/>
      <c r="BYE6" s="72"/>
      <c r="BYH6" s="71"/>
      <c r="BYK6" s="72"/>
      <c r="BYM6" s="73"/>
      <c r="BYN6" s="72"/>
      <c r="BYQ6" s="71"/>
      <c r="BYT6" s="72"/>
      <c r="BYV6" s="73"/>
      <c r="BYW6" s="72"/>
      <c r="BYZ6" s="71"/>
      <c r="BZC6" s="72"/>
      <c r="BZE6" s="73"/>
      <c r="BZF6" s="72"/>
      <c r="BZI6" s="71"/>
      <c r="BZL6" s="72"/>
      <c r="BZN6" s="73"/>
      <c r="BZO6" s="72"/>
      <c r="BZR6" s="71"/>
      <c r="BZU6" s="72"/>
      <c r="BZW6" s="73"/>
      <c r="BZX6" s="72"/>
      <c r="CAA6" s="71"/>
      <c r="CAD6" s="72"/>
      <c r="CAF6" s="73"/>
      <c r="CAG6" s="72"/>
      <c r="CAJ6" s="71"/>
      <c r="CAM6" s="72"/>
      <c r="CAO6" s="73"/>
      <c r="CAP6" s="72"/>
      <c r="CAS6" s="71"/>
      <c r="CAV6" s="72"/>
      <c r="CAX6" s="73"/>
      <c r="CAY6" s="72"/>
      <c r="CBB6" s="71"/>
      <c r="CBE6" s="72"/>
      <c r="CBG6" s="73"/>
      <c r="CBH6" s="72"/>
      <c r="CBK6" s="71"/>
      <c r="CBN6" s="72"/>
      <c r="CBP6" s="73"/>
      <c r="CBQ6" s="72"/>
      <c r="CBT6" s="71"/>
      <c r="CBW6" s="72"/>
      <c r="CBY6" s="73"/>
      <c r="CBZ6" s="72"/>
      <c r="CCC6" s="71"/>
      <c r="CCF6" s="72"/>
      <c r="CCH6" s="73"/>
      <c r="CCI6" s="72"/>
      <c r="CCL6" s="71"/>
      <c r="CCO6" s="72"/>
      <c r="CCQ6" s="73"/>
      <c r="CCR6" s="72"/>
      <c r="CCU6" s="71"/>
      <c r="CCX6" s="72"/>
      <c r="CCZ6" s="73"/>
      <c r="CDA6" s="72"/>
      <c r="CDD6" s="71"/>
      <c r="CDG6" s="72"/>
      <c r="CDI6" s="73"/>
      <c r="CDJ6" s="72"/>
      <c r="CDM6" s="71"/>
      <c r="CDP6" s="72"/>
      <c r="CDR6" s="73"/>
      <c r="CDS6" s="72"/>
      <c r="CDV6" s="71"/>
      <c r="CDY6" s="72"/>
      <c r="CEA6" s="73"/>
      <c r="CEB6" s="72"/>
      <c r="CEE6" s="71"/>
      <c r="CEH6" s="72"/>
      <c r="CEJ6" s="73"/>
      <c r="CEK6" s="72"/>
      <c r="CEN6" s="71"/>
      <c r="CEQ6" s="72"/>
      <c r="CES6" s="73"/>
      <c r="CET6" s="72"/>
      <c r="CEW6" s="71"/>
      <c r="CEZ6" s="72"/>
      <c r="CFB6" s="73"/>
      <c r="CFC6" s="72"/>
      <c r="CFF6" s="71"/>
      <c r="CFI6" s="72"/>
      <c r="CFK6" s="73"/>
      <c r="CFL6" s="72"/>
      <c r="CFO6" s="71"/>
      <c r="CFR6" s="72"/>
      <c r="CFT6" s="73"/>
      <c r="CFU6" s="72"/>
      <c r="CFX6" s="71"/>
      <c r="CGA6" s="72"/>
      <c r="CGC6" s="73"/>
      <c r="CGD6" s="72"/>
      <c r="CGG6" s="71"/>
      <c r="CGJ6" s="72"/>
      <c r="CGL6" s="73"/>
      <c r="CGM6" s="72"/>
      <c r="CGP6" s="71"/>
      <c r="CGS6" s="72"/>
      <c r="CGU6" s="73"/>
      <c r="CGV6" s="72"/>
      <c r="CGY6" s="71"/>
      <c r="CHB6" s="72"/>
      <c r="CHD6" s="73"/>
      <c r="CHE6" s="72"/>
      <c r="CHH6" s="71"/>
      <c r="CHK6" s="72"/>
      <c r="CHM6" s="73"/>
      <c r="CHN6" s="72"/>
      <c r="CHQ6" s="71"/>
      <c r="CHT6" s="72"/>
      <c r="CHV6" s="73"/>
      <c r="CHW6" s="72"/>
      <c r="CHZ6" s="71"/>
      <c r="CIC6" s="72"/>
      <c r="CIE6" s="73"/>
      <c r="CIF6" s="72"/>
      <c r="CII6" s="71"/>
      <c r="CIL6" s="72"/>
      <c r="CIN6" s="73"/>
      <c r="CIO6" s="72"/>
      <c r="CIR6" s="71"/>
      <c r="CIU6" s="72"/>
      <c r="CIW6" s="73"/>
      <c r="CIX6" s="72"/>
      <c r="CJA6" s="71"/>
      <c r="CJD6" s="72"/>
      <c r="CJF6" s="73"/>
      <c r="CJG6" s="72"/>
      <c r="CJJ6" s="71"/>
      <c r="CJM6" s="72"/>
      <c r="CJO6" s="73"/>
      <c r="CJP6" s="72"/>
      <c r="CJS6" s="71"/>
      <c r="CJV6" s="72"/>
      <c r="CJX6" s="73"/>
      <c r="CJY6" s="72"/>
      <c r="CKB6" s="71"/>
      <c r="CKE6" s="72"/>
      <c r="CKG6" s="73"/>
      <c r="CKH6" s="72"/>
      <c r="CKK6" s="71"/>
      <c r="CKN6" s="72"/>
      <c r="CKP6" s="73"/>
      <c r="CKQ6" s="72"/>
      <c r="CKT6" s="71"/>
      <c r="CKW6" s="72"/>
      <c r="CKY6" s="73"/>
      <c r="CKZ6" s="72"/>
      <c r="CLC6" s="71"/>
      <c r="CLF6" s="72"/>
      <c r="CLH6" s="73"/>
      <c r="CLI6" s="72"/>
      <c r="CLL6" s="71"/>
      <c r="CLO6" s="72"/>
      <c r="CLQ6" s="73"/>
      <c r="CLR6" s="72"/>
      <c r="CLU6" s="71"/>
      <c r="CLX6" s="72"/>
      <c r="CLZ6" s="73"/>
      <c r="CMA6" s="72"/>
      <c r="CMD6" s="71"/>
      <c r="CMG6" s="72"/>
      <c r="CMI6" s="73"/>
      <c r="CMJ6" s="72"/>
      <c r="CMM6" s="71"/>
      <c r="CMP6" s="72"/>
      <c r="CMR6" s="73"/>
      <c r="CMS6" s="72"/>
      <c r="CMV6" s="71"/>
      <c r="CMY6" s="72"/>
      <c r="CNA6" s="73"/>
      <c r="CNB6" s="72"/>
      <c r="CNE6" s="71"/>
      <c r="CNH6" s="72"/>
      <c r="CNJ6" s="73"/>
      <c r="CNK6" s="72"/>
      <c r="CNN6" s="71"/>
      <c r="CNQ6" s="72"/>
      <c r="CNS6" s="73"/>
      <c r="CNT6" s="72"/>
      <c r="CNW6" s="71"/>
      <c r="CNZ6" s="72"/>
      <c r="COB6" s="73"/>
      <c r="COC6" s="72"/>
      <c r="COF6" s="71"/>
      <c r="COI6" s="72"/>
      <c r="COK6" s="73"/>
      <c r="COL6" s="72"/>
      <c r="COO6" s="71"/>
      <c r="COR6" s="72"/>
      <c r="COT6" s="73"/>
      <c r="COU6" s="72"/>
      <c r="COX6" s="71"/>
      <c r="CPA6" s="72"/>
      <c r="CPC6" s="73"/>
      <c r="CPD6" s="72"/>
      <c r="CPG6" s="71"/>
      <c r="CPJ6" s="72"/>
      <c r="CPL6" s="73"/>
      <c r="CPM6" s="72"/>
      <c r="CPP6" s="71"/>
      <c r="CPS6" s="72"/>
      <c r="CPU6" s="73"/>
      <c r="CPV6" s="72"/>
      <c r="CPY6" s="71"/>
      <c r="CQB6" s="72"/>
      <c r="CQD6" s="73"/>
      <c r="CQE6" s="72"/>
      <c r="CQH6" s="71"/>
      <c r="CQK6" s="72"/>
      <c r="CQM6" s="73"/>
      <c r="CQN6" s="72"/>
      <c r="CQQ6" s="71"/>
      <c r="CQT6" s="72"/>
      <c r="CQV6" s="73"/>
      <c r="CQW6" s="72"/>
      <c r="CQZ6" s="71"/>
      <c r="CRC6" s="72"/>
      <c r="CRE6" s="73"/>
      <c r="CRF6" s="72"/>
      <c r="CRI6" s="71"/>
      <c r="CRL6" s="72"/>
      <c r="CRN6" s="73"/>
      <c r="CRO6" s="72"/>
      <c r="CRR6" s="71"/>
      <c r="CRU6" s="72"/>
      <c r="CRW6" s="73"/>
      <c r="CRX6" s="72"/>
      <c r="CSA6" s="71"/>
      <c r="CSD6" s="72"/>
      <c r="CSF6" s="73"/>
      <c r="CSG6" s="72"/>
      <c r="CSJ6" s="71"/>
      <c r="CSM6" s="72"/>
      <c r="CSO6" s="73"/>
      <c r="CSP6" s="72"/>
      <c r="CSS6" s="71"/>
      <c r="CSV6" s="72"/>
      <c r="CSX6" s="73"/>
      <c r="CSY6" s="72"/>
      <c r="CTB6" s="71"/>
      <c r="CTE6" s="72"/>
      <c r="CTG6" s="73"/>
      <c r="CTH6" s="72"/>
      <c r="CTK6" s="71"/>
      <c r="CTN6" s="72"/>
      <c r="CTP6" s="73"/>
      <c r="CTQ6" s="72"/>
      <c r="CTT6" s="71"/>
      <c r="CTW6" s="72"/>
      <c r="CTY6" s="73"/>
      <c r="CTZ6" s="72"/>
      <c r="CUC6" s="71"/>
      <c r="CUF6" s="72"/>
      <c r="CUH6" s="73"/>
      <c r="CUI6" s="72"/>
      <c r="CUL6" s="71"/>
      <c r="CUO6" s="72"/>
      <c r="CUQ6" s="73"/>
      <c r="CUR6" s="72"/>
      <c r="CUU6" s="71"/>
      <c r="CUX6" s="72"/>
      <c r="CUZ6" s="73"/>
      <c r="CVA6" s="72"/>
      <c r="CVD6" s="71"/>
      <c r="CVG6" s="72"/>
      <c r="CVI6" s="73"/>
      <c r="CVJ6" s="72"/>
      <c r="CVM6" s="71"/>
      <c r="CVP6" s="72"/>
      <c r="CVR6" s="73"/>
      <c r="CVS6" s="72"/>
      <c r="CVV6" s="71"/>
      <c r="CVY6" s="72"/>
      <c r="CWA6" s="73"/>
      <c r="CWB6" s="72"/>
      <c r="CWE6" s="71"/>
      <c r="CWH6" s="72"/>
      <c r="CWJ6" s="73"/>
      <c r="CWK6" s="72"/>
      <c r="CWN6" s="71"/>
      <c r="CWQ6" s="72"/>
      <c r="CWS6" s="73"/>
      <c r="CWT6" s="72"/>
      <c r="CWW6" s="71"/>
      <c r="CWZ6" s="72"/>
      <c r="CXB6" s="73"/>
      <c r="CXC6" s="72"/>
      <c r="CXF6" s="71"/>
      <c r="CXI6" s="72"/>
      <c r="CXK6" s="73"/>
      <c r="CXL6" s="72"/>
      <c r="CXO6" s="71"/>
      <c r="CXR6" s="72"/>
      <c r="CXT6" s="73"/>
      <c r="CXU6" s="72"/>
      <c r="CXX6" s="71"/>
      <c r="CYA6" s="72"/>
      <c r="CYC6" s="73"/>
      <c r="CYD6" s="72"/>
      <c r="CYG6" s="71"/>
      <c r="CYJ6" s="72"/>
      <c r="CYL6" s="73"/>
      <c r="CYM6" s="72"/>
      <c r="CYP6" s="71"/>
      <c r="CYS6" s="72"/>
      <c r="CYU6" s="73"/>
      <c r="CYV6" s="72"/>
      <c r="CYY6" s="71"/>
      <c r="CZB6" s="72"/>
      <c r="CZD6" s="73"/>
      <c r="CZE6" s="72"/>
      <c r="CZH6" s="71"/>
      <c r="CZK6" s="72"/>
      <c r="CZM6" s="73"/>
      <c r="CZN6" s="72"/>
      <c r="CZQ6" s="71"/>
      <c r="CZT6" s="72"/>
      <c r="CZV6" s="73"/>
      <c r="CZW6" s="72"/>
      <c r="CZZ6" s="71"/>
      <c r="DAC6" s="72"/>
      <c r="DAE6" s="73"/>
      <c r="DAF6" s="72"/>
      <c r="DAI6" s="71"/>
      <c r="DAL6" s="72"/>
      <c r="DAN6" s="73"/>
      <c r="DAO6" s="72"/>
      <c r="DAR6" s="71"/>
      <c r="DAU6" s="72"/>
      <c r="DAW6" s="73"/>
      <c r="DAX6" s="72"/>
      <c r="DBA6" s="71"/>
      <c r="DBD6" s="72"/>
      <c r="DBF6" s="73"/>
      <c r="DBG6" s="72"/>
      <c r="DBJ6" s="71"/>
      <c r="DBM6" s="72"/>
      <c r="DBO6" s="73"/>
      <c r="DBP6" s="72"/>
      <c r="DBS6" s="71"/>
      <c r="DBV6" s="72"/>
      <c r="DBX6" s="73"/>
      <c r="DBY6" s="72"/>
      <c r="DCB6" s="71"/>
      <c r="DCE6" s="72"/>
      <c r="DCG6" s="73"/>
      <c r="DCH6" s="72"/>
      <c r="DCK6" s="71"/>
      <c r="DCN6" s="72"/>
      <c r="DCP6" s="73"/>
      <c r="DCQ6" s="72"/>
      <c r="DCT6" s="71"/>
      <c r="DCW6" s="72"/>
      <c r="DCY6" s="73"/>
      <c r="DCZ6" s="72"/>
      <c r="DDC6" s="71"/>
      <c r="DDF6" s="72"/>
      <c r="DDH6" s="73"/>
      <c r="DDI6" s="72"/>
      <c r="DDL6" s="71"/>
      <c r="DDO6" s="72"/>
      <c r="DDQ6" s="73"/>
      <c r="DDR6" s="72"/>
      <c r="DDU6" s="71"/>
      <c r="DDX6" s="72"/>
      <c r="DDZ6" s="73"/>
      <c r="DEA6" s="72"/>
      <c r="DED6" s="71"/>
      <c r="DEG6" s="72"/>
      <c r="DEI6" s="73"/>
      <c r="DEJ6" s="72"/>
      <c r="DEM6" s="71"/>
      <c r="DEP6" s="72"/>
      <c r="DER6" s="73"/>
      <c r="DES6" s="72"/>
      <c r="DEV6" s="71"/>
      <c r="DEY6" s="72"/>
      <c r="DFA6" s="73"/>
      <c r="DFB6" s="72"/>
      <c r="DFE6" s="71"/>
      <c r="DFH6" s="72"/>
      <c r="DFJ6" s="73"/>
      <c r="DFK6" s="72"/>
      <c r="DFN6" s="71"/>
      <c r="DFQ6" s="72"/>
      <c r="DFS6" s="73"/>
      <c r="DFT6" s="72"/>
      <c r="DFW6" s="71"/>
      <c r="DFZ6" s="72"/>
      <c r="DGB6" s="73"/>
      <c r="DGC6" s="72"/>
      <c r="DGF6" s="71"/>
      <c r="DGI6" s="72"/>
      <c r="DGK6" s="73"/>
      <c r="DGL6" s="72"/>
      <c r="DGO6" s="71"/>
      <c r="DGR6" s="72"/>
      <c r="DGT6" s="73"/>
      <c r="DGU6" s="72"/>
      <c r="DGX6" s="71"/>
      <c r="DHA6" s="72"/>
      <c r="DHC6" s="73"/>
      <c r="DHD6" s="72"/>
      <c r="DHG6" s="71"/>
      <c r="DHJ6" s="72"/>
      <c r="DHL6" s="73"/>
      <c r="DHM6" s="72"/>
      <c r="DHP6" s="71"/>
      <c r="DHS6" s="72"/>
      <c r="DHU6" s="73"/>
      <c r="DHV6" s="72"/>
      <c r="DHY6" s="71"/>
      <c r="DIB6" s="72"/>
      <c r="DID6" s="73"/>
      <c r="DIE6" s="72"/>
      <c r="DIH6" s="71"/>
      <c r="DIK6" s="72"/>
      <c r="DIM6" s="73"/>
      <c r="DIN6" s="72"/>
      <c r="DIQ6" s="71"/>
      <c r="DIT6" s="72"/>
      <c r="DIV6" s="73"/>
      <c r="DIW6" s="72"/>
      <c r="DIZ6" s="71"/>
      <c r="DJC6" s="72"/>
      <c r="DJE6" s="73"/>
      <c r="DJF6" s="72"/>
      <c r="DJI6" s="71"/>
      <c r="DJL6" s="72"/>
      <c r="DJN6" s="73"/>
      <c r="DJO6" s="72"/>
      <c r="DJR6" s="71"/>
      <c r="DJU6" s="72"/>
      <c r="DJW6" s="73"/>
      <c r="DJX6" s="72"/>
      <c r="DKA6" s="71"/>
      <c r="DKD6" s="72"/>
      <c r="DKF6" s="73"/>
      <c r="DKG6" s="72"/>
      <c r="DKJ6" s="71"/>
      <c r="DKM6" s="72"/>
      <c r="DKO6" s="73"/>
      <c r="DKP6" s="72"/>
      <c r="DKS6" s="71"/>
      <c r="DKV6" s="72"/>
      <c r="DKX6" s="73"/>
      <c r="DKY6" s="72"/>
      <c r="DLB6" s="71"/>
      <c r="DLE6" s="72"/>
      <c r="DLG6" s="73"/>
      <c r="DLH6" s="72"/>
      <c r="DLK6" s="71"/>
      <c r="DLN6" s="72"/>
      <c r="DLP6" s="73"/>
      <c r="DLQ6" s="72"/>
      <c r="DLT6" s="71"/>
      <c r="DLW6" s="72"/>
      <c r="DLY6" s="73"/>
      <c r="DLZ6" s="72"/>
      <c r="DMC6" s="71"/>
      <c r="DMF6" s="72"/>
      <c r="DMH6" s="73"/>
      <c r="DMI6" s="72"/>
      <c r="DML6" s="71"/>
      <c r="DMO6" s="72"/>
      <c r="DMQ6" s="73"/>
      <c r="DMR6" s="72"/>
      <c r="DMU6" s="71"/>
      <c r="DMX6" s="72"/>
      <c r="DMZ6" s="73"/>
      <c r="DNA6" s="72"/>
      <c r="DND6" s="71"/>
      <c r="DNG6" s="72"/>
      <c r="DNI6" s="73"/>
      <c r="DNJ6" s="72"/>
      <c r="DNM6" s="71"/>
      <c r="DNP6" s="72"/>
      <c r="DNR6" s="73"/>
      <c r="DNS6" s="72"/>
      <c r="DNV6" s="71"/>
      <c r="DNY6" s="72"/>
      <c r="DOA6" s="73"/>
      <c r="DOB6" s="72"/>
      <c r="DOE6" s="71"/>
      <c r="DOH6" s="72"/>
      <c r="DOJ6" s="73"/>
      <c r="DOK6" s="72"/>
      <c r="DON6" s="71"/>
      <c r="DOQ6" s="72"/>
      <c r="DOS6" s="73"/>
      <c r="DOT6" s="72"/>
      <c r="DOW6" s="71"/>
      <c r="DOZ6" s="72"/>
      <c r="DPB6" s="73"/>
      <c r="DPC6" s="72"/>
      <c r="DPF6" s="71"/>
      <c r="DPI6" s="72"/>
      <c r="DPK6" s="73"/>
      <c r="DPL6" s="72"/>
      <c r="DPO6" s="71"/>
      <c r="DPR6" s="72"/>
      <c r="DPT6" s="73"/>
      <c r="DPU6" s="72"/>
      <c r="DPX6" s="71"/>
      <c r="DQA6" s="72"/>
      <c r="DQC6" s="73"/>
      <c r="DQD6" s="72"/>
      <c r="DQG6" s="71"/>
      <c r="DQJ6" s="72"/>
      <c r="DQL6" s="73"/>
      <c r="DQM6" s="72"/>
      <c r="DQP6" s="71"/>
      <c r="DQS6" s="72"/>
      <c r="DQU6" s="73"/>
      <c r="DQV6" s="72"/>
      <c r="DQY6" s="71"/>
      <c r="DRB6" s="72"/>
      <c r="DRD6" s="73"/>
      <c r="DRE6" s="72"/>
      <c r="DRH6" s="71"/>
      <c r="DRK6" s="72"/>
      <c r="DRM6" s="73"/>
      <c r="DRN6" s="72"/>
      <c r="DRQ6" s="71"/>
      <c r="DRT6" s="72"/>
      <c r="DRV6" s="73"/>
      <c r="DRW6" s="72"/>
      <c r="DRZ6" s="71"/>
      <c r="DSC6" s="72"/>
      <c r="DSE6" s="73"/>
      <c r="DSF6" s="72"/>
      <c r="DSI6" s="71"/>
      <c r="DSL6" s="72"/>
      <c r="DSN6" s="73"/>
      <c r="DSO6" s="72"/>
      <c r="DSR6" s="71"/>
      <c r="DSU6" s="72"/>
      <c r="DSW6" s="73"/>
      <c r="DSX6" s="72"/>
      <c r="DTA6" s="71"/>
      <c r="DTD6" s="72"/>
      <c r="DTF6" s="73"/>
      <c r="DTG6" s="72"/>
      <c r="DTJ6" s="71"/>
      <c r="DTM6" s="72"/>
      <c r="DTO6" s="73"/>
      <c r="DTP6" s="72"/>
      <c r="DTS6" s="71"/>
      <c r="DTV6" s="72"/>
      <c r="DTX6" s="73"/>
      <c r="DTY6" s="72"/>
      <c r="DUB6" s="71"/>
      <c r="DUE6" s="72"/>
      <c r="DUG6" s="73"/>
      <c r="DUH6" s="72"/>
      <c r="DUK6" s="71"/>
      <c r="DUN6" s="72"/>
      <c r="DUP6" s="73"/>
      <c r="DUQ6" s="72"/>
      <c r="DUT6" s="71"/>
      <c r="DUW6" s="72"/>
      <c r="DUY6" s="73"/>
      <c r="DUZ6" s="72"/>
      <c r="DVC6" s="71"/>
      <c r="DVF6" s="72"/>
      <c r="DVH6" s="73"/>
      <c r="DVI6" s="72"/>
      <c r="DVL6" s="71"/>
      <c r="DVO6" s="72"/>
      <c r="DVQ6" s="73"/>
      <c r="DVR6" s="72"/>
      <c r="DVU6" s="71"/>
      <c r="DVX6" s="72"/>
      <c r="DVZ6" s="73"/>
      <c r="DWA6" s="72"/>
      <c r="DWD6" s="71"/>
      <c r="DWG6" s="72"/>
      <c r="DWI6" s="73"/>
      <c r="DWJ6" s="72"/>
      <c r="DWM6" s="71"/>
      <c r="DWP6" s="72"/>
      <c r="DWR6" s="73"/>
      <c r="DWS6" s="72"/>
      <c r="DWV6" s="71"/>
      <c r="DWY6" s="72"/>
      <c r="DXA6" s="73"/>
      <c r="DXB6" s="72"/>
      <c r="DXE6" s="71"/>
      <c r="DXH6" s="72"/>
      <c r="DXJ6" s="73"/>
      <c r="DXK6" s="72"/>
      <c r="DXN6" s="71"/>
      <c r="DXQ6" s="72"/>
      <c r="DXS6" s="73"/>
      <c r="DXT6" s="72"/>
      <c r="DXW6" s="71"/>
      <c r="DXZ6" s="72"/>
      <c r="DYB6" s="73"/>
      <c r="DYC6" s="72"/>
      <c r="DYF6" s="71"/>
      <c r="DYI6" s="72"/>
      <c r="DYK6" s="73"/>
      <c r="DYL6" s="72"/>
      <c r="DYO6" s="71"/>
      <c r="DYR6" s="72"/>
      <c r="DYT6" s="73"/>
      <c r="DYU6" s="72"/>
      <c r="DYX6" s="71"/>
      <c r="DZA6" s="72"/>
      <c r="DZC6" s="73"/>
      <c r="DZD6" s="72"/>
      <c r="DZG6" s="71"/>
      <c r="DZJ6" s="72"/>
      <c r="DZL6" s="73"/>
      <c r="DZM6" s="72"/>
      <c r="DZP6" s="71"/>
      <c r="DZS6" s="72"/>
      <c r="DZU6" s="73"/>
      <c r="DZV6" s="72"/>
      <c r="DZY6" s="71"/>
      <c r="EAB6" s="72"/>
      <c r="EAD6" s="73"/>
      <c r="EAE6" s="72"/>
      <c r="EAH6" s="71"/>
      <c r="EAK6" s="72"/>
      <c r="EAM6" s="73"/>
      <c r="EAN6" s="72"/>
      <c r="EAQ6" s="71"/>
      <c r="EAT6" s="72"/>
      <c r="EAV6" s="73"/>
      <c r="EAW6" s="72"/>
      <c r="EAZ6" s="71"/>
      <c r="EBC6" s="72"/>
      <c r="EBE6" s="73"/>
      <c r="EBF6" s="72"/>
      <c r="EBI6" s="71"/>
      <c r="EBL6" s="72"/>
      <c r="EBN6" s="73"/>
      <c r="EBO6" s="72"/>
      <c r="EBR6" s="71"/>
      <c r="EBU6" s="72"/>
      <c r="EBW6" s="73"/>
      <c r="EBX6" s="72"/>
      <c r="ECA6" s="71"/>
      <c r="ECD6" s="72"/>
      <c r="ECF6" s="73"/>
      <c r="ECG6" s="72"/>
      <c r="ECJ6" s="71"/>
      <c r="ECM6" s="72"/>
      <c r="ECO6" s="73"/>
      <c r="ECP6" s="72"/>
      <c r="ECS6" s="71"/>
      <c r="ECV6" s="72"/>
      <c r="ECX6" s="73"/>
      <c r="ECY6" s="72"/>
      <c r="EDB6" s="71"/>
      <c r="EDE6" s="72"/>
      <c r="EDG6" s="73"/>
      <c r="EDH6" s="72"/>
      <c r="EDK6" s="71"/>
      <c r="EDN6" s="72"/>
      <c r="EDP6" s="73"/>
      <c r="EDQ6" s="72"/>
      <c r="EDT6" s="71"/>
      <c r="EDW6" s="72"/>
      <c r="EDY6" s="73"/>
      <c r="EDZ6" s="72"/>
      <c r="EEC6" s="71"/>
      <c r="EEF6" s="72"/>
      <c r="EEH6" s="73"/>
      <c r="EEI6" s="72"/>
      <c r="EEL6" s="71"/>
      <c r="EEO6" s="72"/>
      <c r="EEQ6" s="73"/>
      <c r="EER6" s="72"/>
      <c r="EEU6" s="71"/>
      <c r="EEX6" s="72"/>
      <c r="EEZ6" s="73"/>
      <c r="EFA6" s="72"/>
      <c r="EFD6" s="71"/>
      <c r="EFG6" s="72"/>
      <c r="EFI6" s="73"/>
      <c r="EFJ6" s="72"/>
      <c r="EFM6" s="71"/>
      <c r="EFP6" s="72"/>
      <c r="EFR6" s="73"/>
      <c r="EFS6" s="72"/>
      <c r="EFV6" s="71"/>
      <c r="EFY6" s="72"/>
      <c r="EGA6" s="73"/>
      <c r="EGB6" s="72"/>
      <c r="EGE6" s="71"/>
      <c r="EGH6" s="72"/>
      <c r="EGJ6" s="73"/>
      <c r="EGK6" s="72"/>
      <c r="EGN6" s="71"/>
      <c r="EGQ6" s="72"/>
      <c r="EGS6" s="73"/>
      <c r="EGT6" s="72"/>
      <c r="EGW6" s="71"/>
      <c r="EGZ6" s="72"/>
      <c r="EHB6" s="73"/>
      <c r="EHC6" s="72"/>
      <c r="EHF6" s="71"/>
      <c r="EHI6" s="72"/>
      <c r="EHK6" s="73"/>
      <c r="EHL6" s="72"/>
      <c r="EHO6" s="71"/>
      <c r="EHR6" s="72"/>
      <c r="EHT6" s="73"/>
      <c r="EHU6" s="72"/>
      <c r="EHX6" s="71"/>
      <c r="EIA6" s="72"/>
      <c r="EIC6" s="73"/>
      <c r="EID6" s="72"/>
      <c r="EIG6" s="71"/>
      <c r="EIJ6" s="72"/>
      <c r="EIL6" s="73"/>
      <c r="EIM6" s="72"/>
      <c r="EIP6" s="71"/>
      <c r="EIS6" s="72"/>
      <c r="EIU6" s="73"/>
      <c r="EIV6" s="72"/>
      <c r="EIY6" s="71"/>
      <c r="EJB6" s="72"/>
      <c r="EJD6" s="73"/>
      <c r="EJE6" s="72"/>
      <c r="EJH6" s="71"/>
      <c r="EJK6" s="72"/>
      <c r="EJM6" s="73"/>
      <c r="EJN6" s="72"/>
      <c r="EJQ6" s="71"/>
      <c r="EJT6" s="72"/>
      <c r="EJV6" s="73"/>
      <c r="EJW6" s="72"/>
      <c r="EJZ6" s="71"/>
      <c r="EKC6" s="72"/>
      <c r="EKE6" s="73"/>
      <c r="EKF6" s="72"/>
      <c r="EKI6" s="71"/>
      <c r="EKL6" s="72"/>
      <c r="EKN6" s="73"/>
      <c r="EKO6" s="72"/>
      <c r="EKR6" s="71"/>
      <c r="EKU6" s="72"/>
      <c r="EKW6" s="73"/>
      <c r="EKX6" s="72"/>
      <c r="ELA6" s="71"/>
      <c r="ELD6" s="72"/>
      <c r="ELF6" s="73"/>
      <c r="ELG6" s="72"/>
      <c r="ELJ6" s="71"/>
      <c r="ELM6" s="72"/>
      <c r="ELO6" s="73"/>
      <c r="ELP6" s="72"/>
      <c r="ELS6" s="71"/>
      <c r="ELV6" s="72"/>
      <c r="ELX6" s="73"/>
      <c r="ELY6" s="72"/>
      <c r="EMB6" s="71"/>
      <c r="EME6" s="72"/>
      <c r="EMG6" s="73"/>
      <c r="EMH6" s="72"/>
      <c r="EMK6" s="71"/>
      <c r="EMN6" s="72"/>
      <c r="EMP6" s="73"/>
      <c r="EMQ6" s="72"/>
      <c r="EMT6" s="71"/>
      <c r="EMW6" s="72"/>
      <c r="EMY6" s="73"/>
      <c r="EMZ6" s="72"/>
      <c r="ENC6" s="71"/>
      <c r="ENF6" s="72"/>
      <c r="ENH6" s="73"/>
      <c r="ENI6" s="72"/>
      <c r="ENL6" s="71"/>
      <c r="ENO6" s="72"/>
      <c r="ENQ6" s="73"/>
      <c r="ENR6" s="72"/>
      <c r="ENU6" s="71"/>
      <c r="ENX6" s="72"/>
      <c r="ENZ6" s="73"/>
      <c r="EOA6" s="72"/>
      <c r="EOD6" s="71"/>
      <c r="EOG6" s="72"/>
      <c r="EOI6" s="73"/>
      <c r="EOJ6" s="72"/>
      <c r="EOM6" s="71"/>
      <c r="EOP6" s="72"/>
      <c r="EOR6" s="73"/>
      <c r="EOS6" s="72"/>
      <c r="EOV6" s="71"/>
      <c r="EOY6" s="72"/>
      <c r="EPA6" s="73"/>
      <c r="EPB6" s="72"/>
      <c r="EPE6" s="71"/>
      <c r="EPH6" s="72"/>
      <c r="EPJ6" s="73"/>
      <c r="EPK6" s="72"/>
      <c r="EPN6" s="71"/>
      <c r="EPQ6" s="72"/>
      <c r="EPS6" s="73"/>
      <c r="EPT6" s="72"/>
      <c r="EPW6" s="71"/>
      <c r="EPZ6" s="72"/>
      <c r="EQB6" s="73"/>
      <c r="EQC6" s="72"/>
      <c r="EQF6" s="71"/>
      <c r="EQI6" s="72"/>
      <c r="EQK6" s="73"/>
      <c r="EQL6" s="72"/>
      <c r="EQO6" s="71"/>
      <c r="EQR6" s="72"/>
      <c r="EQT6" s="73"/>
      <c r="EQU6" s="72"/>
      <c r="EQX6" s="71"/>
      <c r="ERA6" s="72"/>
      <c r="ERC6" s="73"/>
      <c r="ERD6" s="72"/>
      <c r="ERG6" s="71"/>
      <c r="ERJ6" s="72"/>
      <c r="ERL6" s="73"/>
      <c r="ERM6" s="72"/>
      <c r="ERP6" s="71"/>
      <c r="ERS6" s="72"/>
      <c r="ERU6" s="73"/>
      <c r="ERV6" s="72"/>
      <c r="ERY6" s="71"/>
      <c r="ESB6" s="72"/>
      <c r="ESD6" s="73"/>
      <c r="ESE6" s="72"/>
      <c r="ESH6" s="71"/>
      <c r="ESK6" s="72"/>
      <c r="ESM6" s="73"/>
      <c r="ESN6" s="72"/>
      <c r="ESQ6" s="71"/>
      <c r="EST6" s="72"/>
      <c r="ESV6" s="73"/>
      <c r="ESW6" s="72"/>
      <c r="ESZ6" s="71"/>
      <c r="ETC6" s="72"/>
      <c r="ETE6" s="73"/>
      <c r="ETF6" s="72"/>
      <c r="ETI6" s="71"/>
      <c r="ETL6" s="72"/>
      <c r="ETN6" s="73"/>
      <c r="ETO6" s="72"/>
      <c r="ETR6" s="71"/>
      <c r="ETU6" s="72"/>
      <c r="ETW6" s="73"/>
      <c r="ETX6" s="72"/>
      <c r="EUA6" s="71"/>
      <c r="EUD6" s="72"/>
      <c r="EUF6" s="73"/>
      <c r="EUG6" s="72"/>
      <c r="EUJ6" s="71"/>
      <c r="EUM6" s="72"/>
      <c r="EUO6" s="73"/>
      <c r="EUP6" s="72"/>
      <c r="EUS6" s="71"/>
      <c r="EUV6" s="72"/>
      <c r="EUX6" s="73"/>
      <c r="EUY6" s="72"/>
      <c r="EVB6" s="71"/>
      <c r="EVE6" s="72"/>
      <c r="EVG6" s="73"/>
      <c r="EVH6" s="72"/>
      <c r="EVK6" s="71"/>
      <c r="EVN6" s="72"/>
      <c r="EVP6" s="73"/>
      <c r="EVQ6" s="72"/>
      <c r="EVT6" s="71"/>
      <c r="EVW6" s="72"/>
      <c r="EVY6" s="73"/>
      <c r="EVZ6" s="72"/>
      <c r="EWC6" s="71"/>
      <c r="EWF6" s="72"/>
      <c r="EWH6" s="73"/>
      <c r="EWI6" s="72"/>
      <c r="EWL6" s="71"/>
      <c r="EWO6" s="72"/>
      <c r="EWQ6" s="73"/>
      <c r="EWR6" s="72"/>
      <c r="EWU6" s="71"/>
      <c r="EWX6" s="72"/>
      <c r="EWZ6" s="73"/>
      <c r="EXA6" s="72"/>
      <c r="EXD6" s="71"/>
      <c r="EXG6" s="72"/>
      <c r="EXI6" s="73"/>
      <c r="EXJ6" s="72"/>
      <c r="EXM6" s="71"/>
      <c r="EXP6" s="72"/>
      <c r="EXR6" s="73"/>
      <c r="EXS6" s="72"/>
      <c r="EXV6" s="71"/>
      <c r="EXY6" s="72"/>
      <c r="EYA6" s="73"/>
      <c r="EYB6" s="72"/>
      <c r="EYE6" s="71"/>
      <c r="EYH6" s="72"/>
      <c r="EYJ6" s="73"/>
      <c r="EYK6" s="72"/>
      <c r="EYN6" s="71"/>
      <c r="EYQ6" s="72"/>
      <c r="EYS6" s="73"/>
      <c r="EYT6" s="72"/>
      <c r="EYW6" s="71"/>
      <c r="EYZ6" s="72"/>
      <c r="EZB6" s="73"/>
      <c r="EZC6" s="72"/>
      <c r="EZF6" s="71"/>
      <c r="EZI6" s="72"/>
      <c r="EZK6" s="73"/>
      <c r="EZL6" s="72"/>
      <c r="EZO6" s="71"/>
      <c r="EZR6" s="72"/>
      <c r="EZT6" s="73"/>
      <c r="EZU6" s="72"/>
      <c r="EZX6" s="71"/>
      <c r="FAA6" s="72"/>
      <c r="FAC6" s="73"/>
      <c r="FAD6" s="72"/>
      <c r="FAG6" s="71"/>
      <c r="FAJ6" s="72"/>
      <c r="FAL6" s="73"/>
      <c r="FAM6" s="72"/>
      <c r="FAP6" s="71"/>
      <c r="FAS6" s="72"/>
      <c r="FAU6" s="73"/>
      <c r="FAV6" s="72"/>
      <c r="FAY6" s="71"/>
      <c r="FBB6" s="72"/>
      <c r="FBD6" s="73"/>
      <c r="FBE6" s="72"/>
      <c r="FBH6" s="71"/>
      <c r="FBK6" s="72"/>
      <c r="FBM6" s="73"/>
      <c r="FBN6" s="72"/>
      <c r="FBQ6" s="71"/>
      <c r="FBT6" s="72"/>
      <c r="FBV6" s="73"/>
      <c r="FBW6" s="72"/>
      <c r="FBZ6" s="71"/>
      <c r="FCC6" s="72"/>
      <c r="FCE6" s="73"/>
      <c r="FCF6" s="72"/>
      <c r="FCI6" s="71"/>
      <c r="FCL6" s="72"/>
      <c r="FCN6" s="73"/>
      <c r="FCO6" s="72"/>
      <c r="FCR6" s="71"/>
      <c r="FCU6" s="72"/>
      <c r="FCW6" s="73"/>
      <c r="FCX6" s="72"/>
      <c r="FDA6" s="71"/>
      <c r="FDD6" s="72"/>
      <c r="FDF6" s="73"/>
      <c r="FDG6" s="72"/>
      <c r="FDJ6" s="71"/>
      <c r="FDM6" s="72"/>
      <c r="FDO6" s="73"/>
      <c r="FDP6" s="72"/>
      <c r="FDS6" s="71"/>
      <c r="FDV6" s="72"/>
      <c r="FDX6" s="73"/>
      <c r="FDY6" s="72"/>
      <c r="FEB6" s="71"/>
      <c r="FEE6" s="72"/>
      <c r="FEG6" s="73"/>
      <c r="FEH6" s="72"/>
      <c r="FEK6" s="71"/>
      <c r="FEN6" s="72"/>
      <c r="FEP6" s="73"/>
      <c r="FEQ6" s="72"/>
      <c r="FET6" s="71"/>
      <c r="FEW6" s="72"/>
      <c r="FEY6" s="73"/>
      <c r="FEZ6" s="72"/>
      <c r="FFC6" s="71"/>
      <c r="FFF6" s="72"/>
      <c r="FFH6" s="73"/>
      <c r="FFI6" s="72"/>
      <c r="FFL6" s="71"/>
      <c r="FFO6" s="72"/>
      <c r="FFQ6" s="73"/>
      <c r="FFR6" s="72"/>
      <c r="FFU6" s="71"/>
      <c r="FFX6" s="72"/>
      <c r="FFZ6" s="73"/>
      <c r="FGA6" s="72"/>
      <c r="FGD6" s="71"/>
      <c r="FGG6" s="72"/>
      <c r="FGI6" s="73"/>
      <c r="FGJ6" s="72"/>
      <c r="FGM6" s="71"/>
      <c r="FGP6" s="72"/>
      <c r="FGR6" s="73"/>
      <c r="FGS6" s="72"/>
      <c r="FGV6" s="71"/>
      <c r="FGY6" s="72"/>
      <c r="FHA6" s="73"/>
      <c r="FHB6" s="72"/>
      <c r="FHE6" s="71"/>
      <c r="FHH6" s="72"/>
      <c r="FHJ6" s="73"/>
      <c r="FHK6" s="72"/>
      <c r="FHN6" s="71"/>
      <c r="FHQ6" s="72"/>
      <c r="FHS6" s="73"/>
      <c r="FHT6" s="72"/>
      <c r="FHW6" s="71"/>
      <c r="FHZ6" s="72"/>
      <c r="FIB6" s="73"/>
      <c r="FIC6" s="72"/>
      <c r="FIF6" s="71"/>
      <c r="FII6" s="72"/>
      <c r="FIK6" s="73"/>
      <c r="FIL6" s="72"/>
      <c r="FIO6" s="71"/>
      <c r="FIR6" s="72"/>
      <c r="FIT6" s="73"/>
      <c r="FIU6" s="72"/>
      <c r="FIX6" s="71"/>
      <c r="FJA6" s="72"/>
      <c r="FJC6" s="73"/>
      <c r="FJD6" s="72"/>
      <c r="FJG6" s="71"/>
      <c r="FJJ6" s="72"/>
      <c r="FJL6" s="73"/>
      <c r="FJM6" s="72"/>
      <c r="FJP6" s="71"/>
      <c r="FJS6" s="72"/>
      <c r="FJU6" s="73"/>
      <c r="FJV6" s="72"/>
      <c r="FJY6" s="71"/>
      <c r="FKB6" s="72"/>
      <c r="FKD6" s="73"/>
      <c r="FKE6" s="72"/>
      <c r="FKH6" s="71"/>
      <c r="FKK6" s="72"/>
      <c r="FKM6" s="73"/>
      <c r="FKN6" s="72"/>
      <c r="FKQ6" s="71"/>
      <c r="FKT6" s="72"/>
      <c r="FKV6" s="73"/>
      <c r="FKW6" s="72"/>
      <c r="FKZ6" s="71"/>
      <c r="FLC6" s="72"/>
      <c r="FLE6" s="73"/>
      <c r="FLF6" s="72"/>
      <c r="FLI6" s="71"/>
      <c r="FLL6" s="72"/>
      <c r="FLN6" s="73"/>
      <c r="FLO6" s="72"/>
      <c r="FLR6" s="71"/>
      <c r="FLU6" s="72"/>
      <c r="FLW6" s="73"/>
      <c r="FLX6" s="72"/>
      <c r="FMA6" s="71"/>
      <c r="FMD6" s="72"/>
      <c r="FMF6" s="73"/>
      <c r="FMG6" s="72"/>
      <c r="FMJ6" s="71"/>
      <c r="FMM6" s="72"/>
      <c r="FMO6" s="73"/>
      <c r="FMP6" s="72"/>
      <c r="FMS6" s="71"/>
      <c r="FMV6" s="72"/>
      <c r="FMX6" s="73"/>
      <c r="FMY6" s="72"/>
      <c r="FNB6" s="71"/>
      <c r="FNE6" s="72"/>
      <c r="FNG6" s="73"/>
      <c r="FNH6" s="72"/>
      <c r="FNK6" s="71"/>
      <c r="FNN6" s="72"/>
      <c r="FNP6" s="73"/>
      <c r="FNQ6" s="72"/>
      <c r="FNT6" s="71"/>
      <c r="FNW6" s="72"/>
      <c r="FNY6" s="73"/>
      <c r="FNZ6" s="72"/>
      <c r="FOC6" s="71"/>
      <c r="FOF6" s="72"/>
      <c r="FOH6" s="73"/>
      <c r="FOI6" s="72"/>
      <c r="FOL6" s="71"/>
      <c r="FOO6" s="72"/>
      <c r="FOQ6" s="73"/>
      <c r="FOR6" s="72"/>
      <c r="FOU6" s="71"/>
      <c r="FOX6" s="72"/>
      <c r="FOZ6" s="73"/>
      <c r="FPA6" s="72"/>
      <c r="FPD6" s="71"/>
      <c r="FPG6" s="72"/>
      <c r="FPI6" s="73"/>
      <c r="FPJ6" s="72"/>
      <c r="FPM6" s="71"/>
      <c r="FPP6" s="72"/>
      <c r="FPR6" s="73"/>
      <c r="FPS6" s="72"/>
      <c r="FPV6" s="71"/>
      <c r="FPY6" s="72"/>
      <c r="FQA6" s="73"/>
      <c r="FQB6" s="72"/>
      <c r="FQE6" s="71"/>
      <c r="FQH6" s="72"/>
      <c r="FQJ6" s="73"/>
      <c r="FQK6" s="72"/>
      <c r="FQN6" s="71"/>
      <c r="FQQ6" s="72"/>
      <c r="FQS6" s="73"/>
      <c r="FQT6" s="72"/>
      <c r="FQW6" s="71"/>
      <c r="FQZ6" s="72"/>
      <c r="FRB6" s="73"/>
      <c r="FRC6" s="72"/>
      <c r="FRF6" s="71"/>
      <c r="FRI6" s="72"/>
      <c r="FRK6" s="73"/>
      <c r="FRL6" s="72"/>
      <c r="FRO6" s="71"/>
      <c r="FRR6" s="72"/>
      <c r="FRT6" s="73"/>
      <c r="FRU6" s="72"/>
      <c r="FRX6" s="71"/>
      <c r="FSA6" s="72"/>
      <c r="FSC6" s="73"/>
      <c r="FSD6" s="72"/>
      <c r="FSG6" s="71"/>
      <c r="FSJ6" s="72"/>
      <c r="FSL6" s="73"/>
      <c r="FSM6" s="72"/>
      <c r="FSP6" s="71"/>
      <c r="FSS6" s="72"/>
      <c r="FSU6" s="73"/>
      <c r="FSV6" s="72"/>
      <c r="FSY6" s="71"/>
      <c r="FTB6" s="72"/>
      <c r="FTD6" s="73"/>
      <c r="FTE6" s="72"/>
      <c r="FTH6" s="71"/>
      <c r="FTK6" s="72"/>
      <c r="FTM6" s="73"/>
      <c r="FTN6" s="72"/>
      <c r="FTQ6" s="71"/>
      <c r="FTT6" s="72"/>
      <c r="FTV6" s="73"/>
      <c r="FTW6" s="72"/>
      <c r="FTZ6" s="71"/>
      <c r="FUC6" s="72"/>
      <c r="FUE6" s="73"/>
      <c r="FUF6" s="72"/>
      <c r="FUI6" s="71"/>
      <c r="FUL6" s="72"/>
      <c r="FUN6" s="73"/>
      <c r="FUO6" s="72"/>
      <c r="FUR6" s="71"/>
      <c r="FUU6" s="72"/>
      <c r="FUW6" s="73"/>
      <c r="FUX6" s="72"/>
      <c r="FVA6" s="71"/>
      <c r="FVD6" s="72"/>
      <c r="FVF6" s="73"/>
      <c r="FVG6" s="72"/>
      <c r="FVJ6" s="71"/>
      <c r="FVM6" s="72"/>
      <c r="FVO6" s="73"/>
      <c r="FVP6" s="72"/>
      <c r="FVS6" s="71"/>
      <c r="FVV6" s="72"/>
      <c r="FVX6" s="73"/>
      <c r="FVY6" s="72"/>
      <c r="FWB6" s="71"/>
      <c r="FWE6" s="72"/>
      <c r="FWG6" s="73"/>
      <c r="FWH6" s="72"/>
      <c r="FWK6" s="71"/>
      <c r="FWN6" s="72"/>
      <c r="FWP6" s="73"/>
      <c r="FWQ6" s="72"/>
      <c r="FWT6" s="71"/>
      <c r="FWW6" s="72"/>
      <c r="FWY6" s="73"/>
      <c r="FWZ6" s="72"/>
      <c r="FXC6" s="71"/>
      <c r="FXF6" s="72"/>
      <c r="FXH6" s="73"/>
      <c r="FXI6" s="72"/>
      <c r="FXL6" s="71"/>
      <c r="FXO6" s="72"/>
      <c r="FXQ6" s="73"/>
      <c r="FXR6" s="72"/>
      <c r="FXU6" s="71"/>
      <c r="FXX6" s="72"/>
      <c r="FXZ6" s="73"/>
      <c r="FYA6" s="72"/>
      <c r="FYD6" s="71"/>
      <c r="FYG6" s="72"/>
      <c r="FYI6" s="73"/>
      <c r="FYJ6" s="72"/>
      <c r="FYM6" s="71"/>
      <c r="FYP6" s="72"/>
      <c r="FYR6" s="73"/>
      <c r="FYS6" s="72"/>
      <c r="FYV6" s="71"/>
      <c r="FYY6" s="72"/>
      <c r="FZA6" s="73"/>
      <c r="FZB6" s="72"/>
      <c r="FZE6" s="71"/>
      <c r="FZH6" s="72"/>
      <c r="FZJ6" s="73"/>
      <c r="FZK6" s="72"/>
      <c r="FZN6" s="71"/>
      <c r="FZQ6" s="72"/>
      <c r="FZS6" s="73"/>
      <c r="FZT6" s="72"/>
      <c r="FZW6" s="71"/>
      <c r="FZZ6" s="72"/>
      <c r="GAB6" s="73"/>
      <c r="GAC6" s="72"/>
      <c r="GAF6" s="71"/>
      <c r="GAI6" s="72"/>
      <c r="GAK6" s="73"/>
      <c r="GAL6" s="72"/>
      <c r="GAO6" s="71"/>
      <c r="GAR6" s="72"/>
      <c r="GAT6" s="73"/>
      <c r="GAU6" s="72"/>
      <c r="GAX6" s="71"/>
      <c r="GBA6" s="72"/>
      <c r="GBC6" s="73"/>
      <c r="GBD6" s="72"/>
      <c r="GBG6" s="71"/>
      <c r="GBJ6" s="72"/>
      <c r="GBL6" s="73"/>
      <c r="GBM6" s="72"/>
      <c r="GBP6" s="71"/>
      <c r="GBS6" s="72"/>
      <c r="GBU6" s="73"/>
      <c r="GBV6" s="72"/>
      <c r="GBY6" s="71"/>
      <c r="GCB6" s="72"/>
      <c r="GCD6" s="73"/>
      <c r="GCE6" s="72"/>
      <c r="GCH6" s="71"/>
      <c r="GCK6" s="72"/>
      <c r="GCM6" s="73"/>
      <c r="GCN6" s="72"/>
      <c r="GCQ6" s="71"/>
      <c r="GCT6" s="72"/>
      <c r="GCV6" s="73"/>
      <c r="GCW6" s="72"/>
      <c r="GCZ6" s="71"/>
      <c r="GDC6" s="72"/>
      <c r="GDE6" s="73"/>
      <c r="GDF6" s="72"/>
      <c r="GDI6" s="71"/>
      <c r="GDL6" s="72"/>
      <c r="GDN6" s="73"/>
      <c r="GDO6" s="72"/>
      <c r="GDR6" s="71"/>
      <c r="GDU6" s="72"/>
      <c r="GDW6" s="73"/>
      <c r="GDX6" s="72"/>
      <c r="GEA6" s="71"/>
      <c r="GED6" s="72"/>
      <c r="GEF6" s="73"/>
      <c r="GEG6" s="72"/>
      <c r="GEJ6" s="71"/>
      <c r="GEM6" s="72"/>
      <c r="GEO6" s="73"/>
      <c r="GEP6" s="72"/>
      <c r="GES6" s="71"/>
      <c r="GEV6" s="72"/>
      <c r="GEX6" s="73"/>
      <c r="GEY6" s="72"/>
      <c r="GFB6" s="71"/>
      <c r="GFE6" s="72"/>
      <c r="GFG6" s="73"/>
      <c r="GFH6" s="72"/>
      <c r="GFK6" s="71"/>
      <c r="GFN6" s="72"/>
      <c r="GFP6" s="73"/>
      <c r="GFQ6" s="72"/>
      <c r="GFT6" s="71"/>
      <c r="GFW6" s="72"/>
      <c r="GFY6" s="73"/>
      <c r="GFZ6" s="72"/>
      <c r="GGC6" s="71"/>
      <c r="GGF6" s="72"/>
      <c r="GGH6" s="73"/>
      <c r="GGI6" s="72"/>
      <c r="GGL6" s="71"/>
      <c r="GGO6" s="72"/>
      <c r="GGQ6" s="73"/>
      <c r="GGR6" s="72"/>
      <c r="GGU6" s="71"/>
      <c r="GGX6" s="72"/>
      <c r="GGZ6" s="73"/>
      <c r="GHA6" s="72"/>
      <c r="GHD6" s="71"/>
      <c r="GHG6" s="72"/>
      <c r="GHI6" s="73"/>
      <c r="GHJ6" s="72"/>
      <c r="GHM6" s="71"/>
      <c r="GHP6" s="72"/>
      <c r="GHR6" s="73"/>
      <c r="GHS6" s="72"/>
      <c r="GHV6" s="71"/>
      <c r="GHY6" s="72"/>
      <c r="GIA6" s="73"/>
      <c r="GIB6" s="72"/>
      <c r="GIE6" s="71"/>
      <c r="GIH6" s="72"/>
      <c r="GIJ6" s="73"/>
      <c r="GIK6" s="72"/>
      <c r="GIN6" s="71"/>
      <c r="GIQ6" s="72"/>
      <c r="GIS6" s="73"/>
      <c r="GIT6" s="72"/>
      <c r="GIW6" s="71"/>
      <c r="GIZ6" s="72"/>
      <c r="GJB6" s="73"/>
      <c r="GJC6" s="72"/>
      <c r="GJF6" s="71"/>
      <c r="GJI6" s="72"/>
      <c r="GJK6" s="73"/>
      <c r="GJL6" s="72"/>
      <c r="GJO6" s="71"/>
      <c r="GJR6" s="72"/>
      <c r="GJT6" s="73"/>
      <c r="GJU6" s="72"/>
      <c r="GJX6" s="71"/>
      <c r="GKA6" s="72"/>
      <c r="GKC6" s="73"/>
      <c r="GKD6" s="72"/>
      <c r="GKG6" s="71"/>
      <c r="GKJ6" s="72"/>
      <c r="GKL6" s="73"/>
      <c r="GKM6" s="72"/>
      <c r="GKP6" s="71"/>
      <c r="GKS6" s="72"/>
      <c r="GKU6" s="73"/>
      <c r="GKV6" s="72"/>
      <c r="GKY6" s="71"/>
      <c r="GLB6" s="72"/>
      <c r="GLD6" s="73"/>
      <c r="GLE6" s="72"/>
      <c r="GLH6" s="71"/>
      <c r="GLK6" s="72"/>
      <c r="GLM6" s="73"/>
      <c r="GLN6" s="72"/>
      <c r="GLQ6" s="71"/>
      <c r="GLT6" s="72"/>
      <c r="GLV6" s="73"/>
      <c r="GLW6" s="72"/>
      <c r="GLZ6" s="71"/>
      <c r="GMC6" s="72"/>
      <c r="GME6" s="73"/>
      <c r="GMF6" s="72"/>
      <c r="GMI6" s="71"/>
      <c r="GML6" s="72"/>
      <c r="GMN6" s="73"/>
      <c r="GMO6" s="72"/>
      <c r="GMR6" s="71"/>
      <c r="GMU6" s="72"/>
      <c r="GMW6" s="73"/>
      <c r="GMX6" s="72"/>
      <c r="GNA6" s="71"/>
      <c r="GND6" s="72"/>
      <c r="GNF6" s="73"/>
      <c r="GNG6" s="72"/>
      <c r="GNJ6" s="71"/>
      <c r="GNM6" s="72"/>
      <c r="GNO6" s="73"/>
      <c r="GNP6" s="72"/>
      <c r="GNS6" s="71"/>
      <c r="GNV6" s="72"/>
      <c r="GNX6" s="73"/>
      <c r="GNY6" s="72"/>
      <c r="GOB6" s="71"/>
      <c r="GOE6" s="72"/>
      <c r="GOG6" s="73"/>
      <c r="GOH6" s="72"/>
      <c r="GOK6" s="71"/>
      <c r="GON6" s="72"/>
      <c r="GOP6" s="73"/>
      <c r="GOQ6" s="72"/>
      <c r="GOT6" s="71"/>
      <c r="GOW6" s="72"/>
      <c r="GOY6" s="73"/>
      <c r="GOZ6" s="72"/>
      <c r="GPC6" s="71"/>
      <c r="GPF6" s="72"/>
      <c r="GPH6" s="73"/>
      <c r="GPI6" s="72"/>
      <c r="GPL6" s="71"/>
      <c r="GPO6" s="72"/>
      <c r="GPQ6" s="73"/>
      <c r="GPR6" s="72"/>
      <c r="GPU6" s="71"/>
      <c r="GPX6" s="72"/>
      <c r="GPZ6" s="73"/>
      <c r="GQA6" s="72"/>
      <c r="GQD6" s="71"/>
      <c r="GQG6" s="72"/>
      <c r="GQI6" s="73"/>
      <c r="GQJ6" s="72"/>
      <c r="GQM6" s="71"/>
      <c r="GQP6" s="72"/>
      <c r="GQR6" s="73"/>
      <c r="GQS6" s="72"/>
      <c r="GQV6" s="71"/>
      <c r="GQY6" s="72"/>
      <c r="GRA6" s="73"/>
      <c r="GRB6" s="72"/>
      <c r="GRE6" s="71"/>
      <c r="GRH6" s="72"/>
      <c r="GRJ6" s="73"/>
      <c r="GRK6" s="72"/>
      <c r="GRN6" s="71"/>
      <c r="GRQ6" s="72"/>
      <c r="GRS6" s="73"/>
      <c r="GRT6" s="72"/>
      <c r="GRW6" s="71"/>
      <c r="GRZ6" s="72"/>
      <c r="GSB6" s="73"/>
      <c r="GSC6" s="72"/>
      <c r="GSF6" s="71"/>
      <c r="GSI6" s="72"/>
      <c r="GSK6" s="73"/>
      <c r="GSL6" s="72"/>
      <c r="GSO6" s="71"/>
      <c r="GSR6" s="72"/>
      <c r="GST6" s="73"/>
      <c r="GSU6" s="72"/>
      <c r="GSX6" s="71"/>
      <c r="GTA6" s="72"/>
      <c r="GTC6" s="73"/>
      <c r="GTD6" s="72"/>
      <c r="GTG6" s="71"/>
      <c r="GTJ6" s="72"/>
      <c r="GTL6" s="73"/>
      <c r="GTM6" s="72"/>
      <c r="GTP6" s="71"/>
      <c r="GTS6" s="72"/>
      <c r="GTU6" s="73"/>
      <c r="GTV6" s="72"/>
      <c r="GTY6" s="71"/>
      <c r="GUB6" s="72"/>
      <c r="GUD6" s="73"/>
      <c r="GUE6" s="72"/>
      <c r="GUH6" s="71"/>
      <c r="GUK6" s="72"/>
      <c r="GUM6" s="73"/>
      <c r="GUN6" s="72"/>
      <c r="GUQ6" s="71"/>
      <c r="GUT6" s="72"/>
      <c r="GUV6" s="73"/>
      <c r="GUW6" s="72"/>
      <c r="GUZ6" s="71"/>
      <c r="GVC6" s="72"/>
      <c r="GVE6" s="73"/>
      <c r="GVF6" s="72"/>
      <c r="GVI6" s="71"/>
      <c r="GVL6" s="72"/>
      <c r="GVN6" s="73"/>
      <c r="GVO6" s="72"/>
      <c r="GVR6" s="71"/>
      <c r="GVU6" s="72"/>
      <c r="GVW6" s="73"/>
      <c r="GVX6" s="72"/>
      <c r="GWA6" s="71"/>
      <c r="GWD6" s="72"/>
      <c r="GWF6" s="73"/>
      <c r="GWG6" s="72"/>
      <c r="GWJ6" s="71"/>
      <c r="GWM6" s="72"/>
      <c r="GWO6" s="73"/>
      <c r="GWP6" s="72"/>
      <c r="GWS6" s="71"/>
      <c r="GWV6" s="72"/>
      <c r="GWX6" s="73"/>
      <c r="GWY6" s="72"/>
      <c r="GXB6" s="71"/>
      <c r="GXE6" s="72"/>
      <c r="GXG6" s="73"/>
      <c r="GXH6" s="72"/>
      <c r="GXK6" s="71"/>
      <c r="GXN6" s="72"/>
      <c r="GXP6" s="73"/>
      <c r="GXQ6" s="72"/>
      <c r="GXT6" s="71"/>
      <c r="GXW6" s="72"/>
      <c r="GXY6" s="73"/>
      <c r="GXZ6" s="72"/>
      <c r="GYC6" s="71"/>
      <c r="GYF6" s="72"/>
      <c r="GYH6" s="73"/>
      <c r="GYI6" s="72"/>
      <c r="GYL6" s="71"/>
      <c r="GYO6" s="72"/>
      <c r="GYQ6" s="73"/>
      <c r="GYR6" s="72"/>
      <c r="GYU6" s="71"/>
      <c r="GYX6" s="72"/>
      <c r="GYZ6" s="73"/>
      <c r="GZA6" s="72"/>
      <c r="GZD6" s="71"/>
      <c r="GZG6" s="72"/>
      <c r="GZI6" s="73"/>
      <c r="GZJ6" s="72"/>
      <c r="GZM6" s="71"/>
      <c r="GZP6" s="72"/>
      <c r="GZR6" s="73"/>
      <c r="GZS6" s="72"/>
      <c r="GZV6" s="71"/>
      <c r="GZY6" s="72"/>
      <c r="HAA6" s="73"/>
      <c r="HAB6" s="72"/>
      <c r="HAE6" s="71"/>
      <c r="HAH6" s="72"/>
      <c r="HAJ6" s="73"/>
      <c r="HAK6" s="72"/>
      <c r="HAN6" s="71"/>
      <c r="HAQ6" s="72"/>
      <c r="HAS6" s="73"/>
      <c r="HAT6" s="72"/>
      <c r="HAW6" s="71"/>
      <c r="HAZ6" s="72"/>
      <c r="HBB6" s="73"/>
      <c r="HBC6" s="72"/>
      <c r="HBF6" s="71"/>
      <c r="HBI6" s="72"/>
      <c r="HBK6" s="73"/>
      <c r="HBL6" s="72"/>
      <c r="HBO6" s="71"/>
      <c r="HBR6" s="72"/>
      <c r="HBT6" s="73"/>
      <c r="HBU6" s="72"/>
      <c r="HBX6" s="71"/>
      <c r="HCA6" s="72"/>
      <c r="HCC6" s="73"/>
      <c r="HCD6" s="72"/>
      <c r="HCG6" s="71"/>
      <c r="HCJ6" s="72"/>
      <c r="HCL6" s="73"/>
      <c r="HCM6" s="72"/>
      <c r="HCP6" s="71"/>
      <c r="HCS6" s="72"/>
      <c r="HCU6" s="73"/>
      <c r="HCV6" s="72"/>
      <c r="HCY6" s="71"/>
      <c r="HDB6" s="72"/>
      <c r="HDD6" s="73"/>
      <c r="HDE6" s="72"/>
      <c r="HDH6" s="71"/>
      <c r="HDK6" s="72"/>
      <c r="HDM6" s="73"/>
      <c r="HDN6" s="72"/>
      <c r="HDQ6" s="71"/>
      <c r="HDT6" s="72"/>
      <c r="HDV6" s="73"/>
      <c r="HDW6" s="72"/>
      <c r="HDZ6" s="71"/>
      <c r="HEC6" s="72"/>
      <c r="HEE6" s="73"/>
      <c r="HEF6" s="72"/>
      <c r="HEI6" s="71"/>
      <c r="HEL6" s="72"/>
      <c r="HEN6" s="73"/>
      <c r="HEO6" s="72"/>
      <c r="HER6" s="71"/>
      <c r="HEU6" s="72"/>
      <c r="HEW6" s="73"/>
      <c r="HEX6" s="72"/>
      <c r="HFA6" s="71"/>
      <c r="HFD6" s="72"/>
      <c r="HFF6" s="73"/>
      <c r="HFG6" s="72"/>
      <c r="HFJ6" s="71"/>
      <c r="HFM6" s="72"/>
      <c r="HFO6" s="73"/>
      <c r="HFP6" s="72"/>
      <c r="HFS6" s="71"/>
      <c r="HFV6" s="72"/>
      <c r="HFX6" s="73"/>
      <c r="HFY6" s="72"/>
      <c r="HGB6" s="71"/>
      <c r="HGE6" s="72"/>
      <c r="HGG6" s="73"/>
      <c r="HGH6" s="72"/>
      <c r="HGK6" s="71"/>
      <c r="HGN6" s="72"/>
      <c r="HGP6" s="73"/>
      <c r="HGQ6" s="72"/>
      <c r="HGT6" s="71"/>
      <c r="HGW6" s="72"/>
      <c r="HGY6" s="73"/>
      <c r="HGZ6" s="72"/>
      <c r="HHC6" s="71"/>
      <c r="HHF6" s="72"/>
      <c r="HHH6" s="73"/>
      <c r="HHI6" s="72"/>
      <c r="HHL6" s="71"/>
      <c r="HHO6" s="72"/>
      <c r="HHQ6" s="73"/>
      <c r="HHR6" s="72"/>
      <c r="HHU6" s="71"/>
      <c r="HHX6" s="72"/>
      <c r="HHZ6" s="73"/>
      <c r="HIA6" s="72"/>
      <c r="HID6" s="71"/>
      <c r="HIG6" s="72"/>
      <c r="HII6" s="73"/>
      <c r="HIJ6" s="72"/>
      <c r="HIM6" s="71"/>
      <c r="HIP6" s="72"/>
      <c r="HIR6" s="73"/>
      <c r="HIS6" s="72"/>
      <c r="HIV6" s="71"/>
      <c r="HIY6" s="72"/>
      <c r="HJA6" s="73"/>
      <c r="HJB6" s="72"/>
      <c r="HJE6" s="71"/>
      <c r="HJH6" s="72"/>
      <c r="HJJ6" s="73"/>
      <c r="HJK6" s="72"/>
      <c r="HJN6" s="71"/>
      <c r="HJQ6" s="72"/>
      <c r="HJS6" s="73"/>
      <c r="HJT6" s="72"/>
      <c r="HJW6" s="71"/>
      <c r="HJZ6" s="72"/>
      <c r="HKB6" s="73"/>
      <c r="HKC6" s="72"/>
      <c r="HKF6" s="71"/>
      <c r="HKI6" s="72"/>
      <c r="HKK6" s="73"/>
      <c r="HKL6" s="72"/>
      <c r="HKO6" s="71"/>
      <c r="HKR6" s="72"/>
      <c r="HKT6" s="73"/>
      <c r="HKU6" s="72"/>
      <c r="HKX6" s="71"/>
      <c r="HLA6" s="72"/>
      <c r="HLC6" s="73"/>
      <c r="HLD6" s="72"/>
      <c r="HLG6" s="71"/>
      <c r="HLJ6" s="72"/>
      <c r="HLL6" s="73"/>
      <c r="HLM6" s="72"/>
      <c r="HLP6" s="71"/>
      <c r="HLS6" s="72"/>
      <c r="HLU6" s="73"/>
      <c r="HLV6" s="72"/>
      <c r="HLY6" s="71"/>
      <c r="HMB6" s="72"/>
      <c r="HMD6" s="73"/>
      <c r="HME6" s="72"/>
      <c r="HMH6" s="71"/>
      <c r="HMK6" s="72"/>
      <c r="HMM6" s="73"/>
      <c r="HMN6" s="72"/>
      <c r="HMQ6" s="71"/>
      <c r="HMT6" s="72"/>
      <c r="HMV6" s="73"/>
      <c r="HMW6" s="72"/>
      <c r="HMZ6" s="71"/>
      <c r="HNC6" s="72"/>
      <c r="HNE6" s="73"/>
      <c r="HNF6" s="72"/>
      <c r="HNI6" s="71"/>
      <c r="HNL6" s="72"/>
      <c r="HNN6" s="73"/>
      <c r="HNO6" s="72"/>
      <c r="HNR6" s="71"/>
      <c r="HNU6" s="72"/>
      <c r="HNW6" s="73"/>
      <c r="HNX6" s="72"/>
      <c r="HOA6" s="71"/>
      <c r="HOD6" s="72"/>
      <c r="HOF6" s="73"/>
      <c r="HOG6" s="72"/>
      <c r="HOJ6" s="71"/>
      <c r="HOM6" s="72"/>
      <c r="HOO6" s="73"/>
      <c r="HOP6" s="72"/>
      <c r="HOS6" s="71"/>
      <c r="HOV6" s="72"/>
      <c r="HOX6" s="73"/>
      <c r="HOY6" s="72"/>
      <c r="HPB6" s="71"/>
      <c r="HPE6" s="72"/>
      <c r="HPG6" s="73"/>
      <c r="HPH6" s="72"/>
      <c r="HPK6" s="71"/>
      <c r="HPN6" s="72"/>
      <c r="HPP6" s="73"/>
      <c r="HPQ6" s="72"/>
      <c r="HPT6" s="71"/>
      <c r="HPW6" s="72"/>
      <c r="HPY6" s="73"/>
      <c r="HPZ6" s="72"/>
      <c r="HQC6" s="71"/>
      <c r="HQF6" s="72"/>
      <c r="HQH6" s="73"/>
      <c r="HQI6" s="72"/>
      <c r="HQL6" s="71"/>
      <c r="HQO6" s="72"/>
      <c r="HQQ6" s="73"/>
      <c r="HQR6" s="72"/>
      <c r="HQU6" s="71"/>
      <c r="HQX6" s="72"/>
      <c r="HQZ6" s="73"/>
      <c r="HRA6" s="72"/>
      <c r="HRD6" s="71"/>
      <c r="HRG6" s="72"/>
      <c r="HRI6" s="73"/>
      <c r="HRJ6" s="72"/>
      <c r="HRM6" s="71"/>
      <c r="HRP6" s="72"/>
      <c r="HRR6" s="73"/>
      <c r="HRS6" s="72"/>
      <c r="HRV6" s="71"/>
      <c r="HRY6" s="72"/>
      <c r="HSA6" s="73"/>
      <c r="HSB6" s="72"/>
      <c r="HSE6" s="71"/>
      <c r="HSH6" s="72"/>
      <c r="HSJ6" s="73"/>
      <c r="HSK6" s="72"/>
      <c r="HSN6" s="71"/>
      <c r="HSQ6" s="72"/>
      <c r="HSS6" s="73"/>
      <c r="HST6" s="72"/>
      <c r="HSW6" s="71"/>
      <c r="HSZ6" s="72"/>
      <c r="HTB6" s="73"/>
      <c r="HTC6" s="72"/>
      <c r="HTF6" s="71"/>
      <c r="HTI6" s="72"/>
      <c r="HTK6" s="73"/>
      <c r="HTL6" s="72"/>
      <c r="HTO6" s="71"/>
      <c r="HTR6" s="72"/>
      <c r="HTT6" s="73"/>
      <c r="HTU6" s="72"/>
      <c r="HTX6" s="71"/>
      <c r="HUA6" s="72"/>
      <c r="HUC6" s="73"/>
      <c r="HUD6" s="72"/>
      <c r="HUG6" s="71"/>
      <c r="HUJ6" s="72"/>
      <c r="HUL6" s="73"/>
      <c r="HUM6" s="72"/>
      <c r="HUP6" s="71"/>
      <c r="HUS6" s="72"/>
      <c r="HUU6" s="73"/>
      <c r="HUV6" s="72"/>
      <c r="HUY6" s="71"/>
      <c r="HVB6" s="72"/>
      <c r="HVD6" s="73"/>
      <c r="HVE6" s="72"/>
      <c r="HVH6" s="71"/>
      <c r="HVK6" s="72"/>
      <c r="HVM6" s="73"/>
      <c r="HVN6" s="72"/>
      <c r="HVQ6" s="71"/>
      <c r="HVT6" s="72"/>
      <c r="HVV6" s="73"/>
      <c r="HVW6" s="72"/>
      <c r="HVZ6" s="71"/>
      <c r="HWC6" s="72"/>
      <c r="HWE6" s="73"/>
      <c r="HWF6" s="72"/>
      <c r="HWI6" s="71"/>
      <c r="HWL6" s="72"/>
      <c r="HWN6" s="73"/>
      <c r="HWO6" s="72"/>
      <c r="HWR6" s="71"/>
      <c r="HWU6" s="72"/>
      <c r="HWW6" s="73"/>
      <c r="HWX6" s="72"/>
      <c r="HXA6" s="71"/>
      <c r="HXD6" s="72"/>
      <c r="HXF6" s="73"/>
      <c r="HXG6" s="72"/>
      <c r="HXJ6" s="71"/>
      <c r="HXM6" s="72"/>
      <c r="HXO6" s="73"/>
      <c r="HXP6" s="72"/>
      <c r="HXS6" s="71"/>
      <c r="HXV6" s="72"/>
      <c r="HXX6" s="73"/>
      <c r="HXY6" s="72"/>
      <c r="HYB6" s="71"/>
      <c r="HYE6" s="72"/>
      <c r="HYG6" s="73"/>
      <c r="HYH6" s="72"/>
      <c r="HYK6" s="71"/>
      <c r="HYN6" s="72"/>
      <c r="HYP6" s="73"/>
      <c r="HYQ6" s="72"/>
      <c r="HYT6" s="71"/>
      <c r="HYW6" s="72"/>
      <c r="HYY6" s="73"/>
      <c r="HYZ6" s="72"/>
      <c r="HZC6" s="71"/>
      <c r="HZF6" s="72"/>
      <c r="HZH6" s="73"/>
      <c r="HZI6" s="72"/>
      <c r="HZL6" s="71"/>
      <c r="HZO6" s="72"/>
      <c r="HZQ6" s="73"/>
      <c r="HZR6" s="72"/>
      <c r="HZU6" s="71"/>
      <c r="HZX6" s="72"/>
      <c r="HZZ6" s="73"/>
      <c r="IAA6" s="72"/>
      <c r="IAD6" s="71"/>
      <c r="IAG6" s="72"/>
      <c r="IAI6" s="73"/>
      <c r="IAJ6" s="72"/>
      <c r="IAM6" s="71"/>
      <c r="IAP6" s="72"/>
      <c r="IAR6" s="73"/>
      <c r="IAS6" s="72"/>
      <c r="IAV6" s="71"/>
      <c r="IAY6" s="72"/>
      <c r="IBA6" s="73"/>
      <c r="IBB6" s="72"/>
      <c r="IBE6" s="71"/>
      <c r="IBH6" s="72"/>
      <c r="IBJ6" s="73"/>
      <c r="IBK6" s="72"/>
      <c r="IBN6" s="71"/>
      <c r="IBQ6" s="72"/>
      <c r="IBS6" s="73"/>
      <c r="IBT6" s="72"/>
      <c r="IBW6" s="71"/>
      <c r="IBZ6" s="72"/>
      <c r="ICB6" s="73"/>
      <c r="ICC6" s="72"/>
      <c r="ICF6" s="71"/>
      <c r="ICI6" s="72"/>
      <c r="ICK6" s="73"/>
      <c r="ICL6" s="72"/>
      <c r="ICO6" s="71"/>
      <c r="ICR6" s="72"/>
      <c r="ICT6" s="73"/>
      <c r="ICU6" s="72"/>
      <c r="ICX6" s="71"/>
      <c r="IDA6" s="72"/>
      <c r="IDC6" s="73"/>
      <c r="IDD6" s="72"/>
      <c r="IDG6" s="71"/>
      <c r="IDJ6" s="72"/>
      <c r="IDL6" s="73"/>
      <c r="IDM6" s="72"/>
      <c r="IDP6" s="71"/>
      <c r="IDS6" s="72"/>
      <c r="IDU6" s="73"/>
      <c r="IDV6" s="72"/>
      <c r="IDY6" s="71"/>
      <c r="IEB6" s="72"/>
      <c r="IED6" s="73"/>
      <c r="IEE6" s="72"/>
      <c r="IEH6" s="71"/>
      <c r="IEK6" s="72"/>
      <c r="IEM6" s="73"/>
      <c r="IEN6" s="72"/>
      <c r="IEQ6" s="71"/>
      <c r="IET6" s="72"/>
      <c r="IEV6" s="73"/>
      <c r="IEW6" s="72"/>
      <c r="IEZ6" s="71"/>
      <c r="IFC6" s="72"/>
      <c r="IFE6" s="73"/>
      <c r="IFF6" s="72"/>
      <c r="IFI6" s="71"/>
      <c r="IFL6" s="72"/>
      <c r="IFN6" s="73"/>
      <c r="IFO6" s="72"/>
      <c r="IFR6" s="71"/>
      <c r="IFU6" s="72"/>
      <c r="IFW6" s="73"/>
      <c r="IFX6" s="72"/>
      <c r="IGA6" s="71"/>
      <c r="IGD6" s="72"/>
      <c r="IGF6" s="73"/>
      <c r="IGG6" s="72"/>
      <c r="IGJ6" s="71"/>
      <c r="IGM6" s="72"/>
      <c r="IGO6" s="73"/>
      <c r="IGP6" s="72"/>
      <c r="IGS6" s="71"/>
      <c r="IGV6" s="72"/>
      <c r="IGX6" s="73"/>
      <c r="IGY6" s="72"/>
      <c r="IHB6" s="71"/>
      <c r="IHE6" s="72"/>
      <c r="IHG6" s="73"/>
      <c r="IHH6" s="72"/>
      <c r="IHK6" s="71"/>
      <c r="IHN6" s="72"/>
      <c r="IHP6" s="73"/>
      <c r="IHQ6" s="72"/>
      <c r="IHT6" s="71"/>
      <c r="IHW6" s="72"/>
      <c r="IHY6" s="73"/>
      <c r="IHZ6" s="72"/>
      <c r="IIC6" s="71"/>
      <c r="IIF6" s="72"/>
      <c r="IIH6" s="73"/>
      <c r="III6" s="72"/>
      <c r="IIL6" s="71"/>
      <c r="IIO6" s="72"/>
      <c r="IIQ6" s="73"/>
      <c r="IIR6" s="72"/>
      <c r="IIU6" s="71"/>
      <c r="IIX6" s="72"/>
      <c r="IIZ6" s="73"/>
      <c r="IJA6" s="72"/>
      <c r="IJD6" s="71"/>
      <c r="IJG6" s="72"/>
      <c r="IJI6" s="73"/>
      <c r="IJJ6" s="72"/>
      <c r="IJM6" s="71"/>
      <c r="IJP6" s="72"/>
      <c r="IJR6" s="73"/>
      <c r="IJS6" s="72"/>
      <c r="IJV6" s="71"/>
      <c r="IJY6" s="72"/>
      <c r="IKA6" s="73"/>
      <c r="IKB6" s="72"/>
      <c r="IKE6" s="71"/>
      <c r="IKH6" s="72"/>
      <c r="IKJ6" s="73"/>
      <c r="IKK6" s="72"/>
      <c r="IKN6" s="71"/>
      <c r="IKQ6" s="72"/>
      <c r="IKS6" s="73"/>
      <c r="IKT6" s="72"/>
      <c r="IKW6" s="71"/>
      <c r="IKZ6" s="72"/>
      <c r="ILB6" s="73"/>
      <c r="ILC6" s="72"/>
      <c r="ILF6" s="71"/>
      <c r="ILI6" s="72"/>
      <c r="ILK6" s="73"/>
      <c r="ILL6" s="72"/>
      <c r="ILO6" s="71"/>
      <c r="ILR6" s="72"/>
      <c r="ILT6" s="73"/>
      <c r="ILU6" s="72"/>
      <c r="ILX6" s="71"/>
      <c r="IMA6" s="72"/>
      <c r="IMC6" s="73"/>
      <c r="IMD6" s="72"/>
      <c r="IMG6" s="71"/>
      <c r="IMJ6" s="72"/>
      <c r="IML6" s="73"/>
      <c r="IMM6" s="72"/>
      <c r="IMP6" s="71"/>
      <c r="IMS6" s="72"/>
      <c r="IMU6" s="73"/>
      <c r="IMV6" s="72"/>
      <c r="IMY6" s="71"/>
      <c r="INB6" s="72"/>
      <c r="IND6" s="73"/>
      <c r="INE6" s="72"/>
      <c r="INH6" s="71"/>
      <c r="INK6" s="72"/>
      <c r="INM6" s="73"/>
      <c r="INN6" s="72"/>
      <c r="INQ6" s="71"/>
      <c r="INT6" s="72"/>
      <c r="INV6" s="73"/>
      <c r="INW6" s="72"/>
      <c r="INZ6" s="71"/>
      <c r="IOC6" s="72"/>
      <c r="IOE6" s="73"/>
      <c r="IOF6" s="72"/>
      <c r="IOI6" s="71"/>
      <c r="IOL6" s="72"/>
      <c r="ION6" s="73"/>
      <c r="IOO6" s="72"/>
      <c r="IOR6" s="71"/>
      <c r="IOU6" s="72"/>
      <c r="IOW6" s="73"/>
      <c r="IOX6" s="72"/>
      <c r="IPA6" s="71"/>
      <c r="IPD6" s="72"/>
      <c r="IPF6" s="73"/>
      <c r="IPG6" s="72"/>
      <c r="IPJ6" s="71"/>
      <c r="IPM6" s="72"/>
      <c r="IPO6" s="73"/>
      <c r="IPP6" s="72"/>
      <c r="IPS6" s="71"/>
      <c r="IPV6" s="72"/>
      <c r="IPX6" s="73"/>
      <c r="IPY6" s="72"/>
      <c r="IQB6" s="71"/>
      <c r="IQE6" s="72"/>
      <c r="IQG6" s="73"/>
      <c r="IQH6" s="72"/>
      <c r="IQK6" s="71"/>
      <c r="IQN6" s="72"/>
      <c r="IQP6" s="73"/>
      <c r="IQQ6" s="72"/>
      <c r="IQT6" s="71"/>
      <c r="IQW6" s="72"/>
      <c r="IQY6" s="73"/>
      <c r="IQZ6" s="72"/>
      <c r="IRC6" s="71"/>
      <c r="IRF6" s="72"/>
      <c r="IRH6" s="73"/>
      <c r="IRI6" s="72"/>
      <c r="IRL6" s="71"/>
      <c r="IRO6" s="72"/>
      <c r="IRQ6" s="73"/>
      <c r="IRR6" s="72"/>
      <c r="IRU6" s="71"/>
      <c r="IRX6" s="72"/>
      <c r="IRZ6" s="73"/>
      <c r="ISA6" s="72"/>
      <c r="ISD6" s="71"/>
      <c r="ISG6" s="72"/>
      <c r="ISI6" s="73"/>
      <c r="ISJ6" s="72"/>
      <c r="ISM6" s="71"/>
      <c r="ISP6" s="72"/>
      <c r="ISR6" s="73"/>
      <c r="ISS6" s="72"/>
      <c r="ISV6" s="71"/>
      <c r="ISY6" s="72"/>
      <c r="ITA6" s="73"/>
      <c r="ITB6" s="72"/>
      <c r="ITE6" s="71"/>
      <c r="ITH6" s="72"/>
      <c r="ITJ6" s="73"/>
      <c r="ITK6" s="72"/>
      <c r="ITN6" s="71"/>
      <c r="ITQ6" s="72"/>
      <c r="ITS6" s="73"/>
      <c r="ITT6" s="72"/>
      <c r="ITW6" s="71"/>
      <c r="ITZ6" s="72"/>
      <c r="IUB6" s="73"/>
      <c r="IUC6" s="72"/>
      <c r="IUF6" s="71"/>
      <c r="IUI6" s="72"/>
      <c r="IUK6" s="73"/>
      <c r="IUL6" s="72"/>
      <c r="IUO6" s="71"/>
      <c r="IUR6" s="72"/>
      <c r="IUT6" s="73"/>
      <c r="IUU6" s="72"/>
      <c r="IUX6" s="71"/>
      <c r="IVA6" s="72"/>
      <c r="IVC6" s="73"/>
      <c r="IVD6" s="72"/>
      <c r="IVG6" s="71"/>
      <c r="IVJ6" s="72"/>
      <c r="IVL6" s="73"/>
      <c r="IVM6" s="72"/>
      <c r="IVP6" s="71"/>
      <c r="IVS6" s="72"/>
      <c r="IVU6" s="73"/>
      <c r="IVV6" s="72"/>
      <c r="IVY6" s="71"/>
      <c r="IWB6" s="72"/>
      <c r="IWD6" s="73"/>
      <c r="IWE6" s="72"/>
      <c r="IWH6" s="71"/>
      <c r="IWK6" s="72"/>
      <c r="IWM6" s="73"/>
      <c r="IWN6" s="72"/>
      <c r="IWQ6" s="71"/>
      <c r="IWT6" s="72"/>
      <c r="IWV6" s="73"/>
      <c r="IWW6" s="72"/>
      <c r="IWZ6" s="71"/>
      <c r="IXC6" s="72"/>
      <c r="IXE6" s="73"/>
      <c r="IXF6" s="72"/>
      <c r="IXI6" s="71"/>
      <c r="IXL6" s="72"/>
      <c r="IXN6" s="73"/>
      <c r="IXO6" s="72"/>
      <c r="IXR6" s="71"/>
      <c r="IXU6" s="72"/>
      <c r="IXW6" s="73"/>
      <c r="IXX6" s="72"/>
      <c r="IYA6" s="71"/>
      <c r="IYD6" s="72"/>
      <c r="IYF6" s="73"/>
      <c r="IYG6" s="72"/>
      <c r="IYJ6" s="71"/>
      <c r="IYM6" s="72"/>
      <c r="IYO6" s="73"/>
      <c r="IYP6" s="72"/>
      <c r="IYS6" s="71"/>
      <c r="IYV6" s="72"/>
      <c r="IYX6" s="73"/>
      <c r="IYY6" s="72"/>
      <c r="IZB6" s="71"/>
      <c r="IZE6" s="72"/>
      <c r="IZG6" s="73"/>
      <c r="IZH6" s="72"/>
      <c r="IZK6" s="71"/>
      <c r="IZN6" s="72"/>
      <c r="IZP6" s="73"/>
      <c r="IZQ6" s="72"/>
      <c r="IZT6" s="71"/>
      <c r="IZW6" s="72"/>
      <c r="IZY6" s="73"/>
      <c r="IZZ6" s="72"/>
      <c r="JAC6" s="71"/>
      <c r="JAF6" s="72"/>
      <c r="JAH6" s="73"/>
      <c r="JAI6" s="72"/>
      <c r="JAL6" s="71"/>
      <c r="JAO6" s="72"/>
      <c r="JAQ6" s="73"/>
      <c r="JAR6" s="72"/>
      <c r="JAU6" s="71"/>
      <c r="JAX6" s="72"/>
      <c r="JAZ6" s="73"/>
      <c r="JBA6" s="72"/>
      <c r="JBD6" s="71"/>
      <c r="JBG6" s="72"/>
      <c r="JBI6" s="73"/>
      <c r="JBJ6" s="72"/>
      <c r="JBM6" s="71"/>
      <c r="JBP6" s="72"/>
      <c r="JBR6" s="73"/>
      <c r="JBS6" s="72"/>
      <c r="JBV6" s="71"/>
      <c r="JBY6" s="72"/>
      <c r="JCA6" s="73"/>
      <c r="JCB6" s="72"/>
      <c r="JCE6" s="71"/>
      <c r="JCH6" s="72"/>
      <c r="JCJ6" s="73"/>
      <c r="JCK6" s="72"/>
      <c r="JCN6" s="71"/>
      <c r="JCQ6" s="72"/>
      <c r="JCS6" s="73"/>
      <c r="JCT6" s="72"/>
      <c r="JCW6" s="71"/>
      <c r="JCZ6" s="72"/>
      <c r="JDB6" s="73"/>
      <c r="JDC6" s="72"/>
      <c r="JDF6" s="71"/>
      <c r="JDI6" s="72"/>
      <c r="JDK6" s="73"/>
      <c r="JDL6" s="72"/>
      <c r="JDO6" s="71"/>
      <c r="JDR6" s="72"/>
      <c r="JDT6" s="73"/>
      <c r="JDU6" s="72"/>
      <c r="JDX6" s="71"/>
      <c r="JEA6" s="72"/>
      <c r="JEC6" s="73"/>
      <c r="JED6" s="72"/>
      <c r="JEG6" s="71"/>
      <c r="JEJ6" s="72"/>
      <c r="JEL6" s="73"/>
      <c r="JEM6" s="72"/>
      <c r="JEP6" s="71"/>
      <c r="JES6" s="72"/>
      <c r="JEU6" s="73"/>
      <c r="JEV6" s="72"/>
      <c r="JEY6" s="71"/>
      <c r="JFB6" s="72"/>
      <c r="JFD6" s="73"/>
      <c r="JFE6" s="72"/>
      <c r="JFH6" s="71"/>
      <c r="JFK6" s="72"/>
      <c r="JFM6" s="73"/>
      <c r="JFN6" s="72"/>
      <c r="JFQ6" s="71"/>
      <c r="JFT6" s="72"/>
      <c r="JFV6" s="73"/>
      <c r="JFW6" s="72"/>
      <c r="JFZ6" s="71"/>
      <c r="JGC6" s="72"/>
      <c r="JGE6" s="73"/>
      <c r="JGF6" s="72"/>
      <c r="JGI6" s="71"/>
      <c r="JGL6" s="72"/>
      <c r="JGN6" s="73"/>
      <c r="JGO6" s="72"/>
      <c r="JGR6" s="71"/>
      <c r="JGU6" s="72"/>
      <c r="JGW6" s="73"/>
      <c r="JGX6" s="72"/>
      <c r="JHA6" s="71"/>
      <c r="JHD6" s="72"/>
      <c r="JHF6" s="73"/>
      <c r="JHG6" s="72"/>
      <c r="JHJ6" s="71"/>
      <c r="JHM6" s="72"/>
      <c r="JHO6" s="73"/>
      <c r="JHP6" s="72"/>
      <c r="JHS6" s="71"/>
      <c r="JHV6" s="72"/>
      <c r="JHX6" s="73"/>
      <c r="JHY6" s="72"/>
      <c r="JIB6" s="71"/>
      <c r="JIE6" s="72"/>
      <c r="JIG6" s="73"/>
      <c r="JIH6" s="72"/>
      <c r="JIK6" s="71"/>
      <c r="JIN6" s="72"/>
      <c r="JIP6" s="73"/>
      <c r="JIQ6" s="72"/>
      <c r="JIT6" s="71"/>
      <c r="JIW6" s="72"/>
      <c r="JIY6" s="73"/>
      <c r="JIZ6" s="72"/>
      <c r="JJC6" s="71"/>
      <c r="JJF6" s="72"/>
      <c r="JJH6" s="73"/>
      <c r="JJI6" s="72"/>
      <c r="JJL6" s="71"/>
      <c r="JJO6" s="72"/>
      <c r="JJQ6" s="73"/>
      <c r="JJR6" s="72"/>
      <c r="JJU6" s="71"/>
      <c r="JJX6" s="72"/>
      <c r="JJZ6" s="73"/>
      <c r="JKA6" s="72"/>
      <c r="JKD6" s="71"/>
      <c r="JKG6" s="72"/>
      <c r="JKI6" s="73"/>
      <c r="JKJ6" s="72"/>
      <c r="JKM6" s="71"/>
      <c r="JKP6" s="72"/>
      <c r="JKR6" s="73"/>
      <c r="JKS6" s="72"/>
      <c r="JKV6" s="71"/>
      <c r="JKY6" s="72"/>
      <c r="JLA6" s="73"/>
      <c r="JLB6" s="72"/>
      <c r="JLE6" s="71"/>
      <c r="JLH6" s="72"/>
      <c r="JLJ6" s="73"/>
      <c r="JLK6" s="72"/>
      <c r="JLN6" s="71"/>
      <c r="JLQ6" s="72"/>
      <c r="JLS6" s="73"/>
      <c r="JLT6" s="72"/>
      <c r="JLW6" s="71"/>
      <c r="JLZ6" s="72"/>
      <c r="JMB6" s="73"/>
      <c r="JMC6" s="72"/>
      <c r="JMF6" s="71"/>
      <c r="JMI6" s="72"/>
      <c r="JMK6" s="73"/>
      <c r="JML6" s="72"/>
      <c r="JMO6" s="71"/>
      <c r="JMR6" s="72"/>
      <c r="JMT6" s="73"/>
      <c r="JMU6" s="72"/>
      <c r="JMX6" s="71"/>
      <c r="JNA6" s="72"/>
      <c r="JNC6" s="73"/>
      <c r="JND6" s="72"/>
      <c r="JNG6" s="71"/>
      <c r="JNJ6" s="72"/>
      <c r="JNL6" s="73"/>
      <c r="JNM6" s="72"/>
      <c r="JNP6" s="71"/>
      <c r="JNS6" s="72"/>
      <c r="JNU6" s="73"/>
      <c r="JNV6" s="72"/>
      <c r="JNY6" s="71"/>
      <c r="JOB6" s="72"/>
      <c r="JOD6" s="73"/>
      <c r="JOE6" s="72"/>
      <c r="JOH6" s="71"/>
      <c r="JOK6" s="72"/>
      <c r="JOM6" s="73"/>
      <c r="JON6" s="72"/>
      <c r="JOQ6" s="71"/>
      <c r="JOT6" s="72"/>
      <c r="JOV6" s="73"/>
      <c r="JOW6" s="72"/>
      <c r="JOZ6" s="71"/>
      <c r="JPC6" s="72"/>
      <c r="JPE6" s="73"/>
      <c r="JPF6" s="72"/>
      <c r="JPI6" s="71"/>
      <c r="JPL6" s="72"/>
      <c r="JPN6" s="73"/>
      <c r="JPO6" s="72"/>
      <c r="JPR6" s="71"/>
      <c r="JPU6" s="72"/>
      <c r="JPW6" s="73"/>
      <c r="JPX6" s="72"/>
      <c r="JQA6" s="71"/>
      <c r="JQD6" s="72"/>
      <c r="JQF6" s="73"/>
      <c r="JQG6" s="72"/>
      <c r="JQJ6" s="71"/>
      <c r="JQM6" s="72"/>
      <c r="JQO6" s="73"/>
      <c r="JQP6" s="72"/>
      <c r="JQS6" s="71"/>
      <c r="JQV6" s="72"/>
      <c r="JQX6" s="73"/>
      <c r="JQY6" s="72"/>
      <c r="JRB6" s="71"/>
      <c r="JRE6" s="72"/>
      <c r="JRG6" s="73"/>
      <c r="JRH6" s="72"/>
      <c r="JRK6" s="71"/>
      <c r="JRN6" s="72"/>
      <c r="JRP6" s="73"/>
      <c r="JRQ6" s="72"/>
      <c r="JRT6" s="71"/>
      <c r="JRW6" s="72"/>
      <c r="JRY6" s="73"/>
      <c r="JRZ6" s="72"/>
      <c r="JSC6" s="71"/>
      <c r="JSF6" s="72"/>
      <c r="JSH6" s="73"/>
      <c r="JSI6" s="72"/>
      <c r="JSL6" s="71"/>
      <c r="JSO6" s="72"/>
      <c r="JSQ6" s="73"/>
      <c r="JSR6" s="72"/>
      <c r="JSU6" s="71"/>
      <c r="JSX6" s="72"/>
      <c r="JSZ6" s="73"/>
      <c r="JTA6" s="72"/>
      <c r="JTD6" s="71"/>
      <c r="JTG6" s="72"/>
      <c r="JTI6" s="73"/>
      <c r="JTJ6" s="72"/>
      <c r="JTM6" s="71"/>
      <c r="JTP6" s="72"/>
      <c r="JTR6" s="73"/>
      <c r="JTS6" s="72"/>
      <c r="JTV6" s="71"/>
      <c r="JTY6" s="72"/>
      <c r="JUA6" s="73"/>
      <c r="JUB6" s="72"/>
      <c r="JUE6" s="71"/>
      <c r="JUH6" s="72"/>
      <c r="JUJ6" s="73"/>
      <c r="JUK6" s="72"/>
      <c r="JUN6" s="71"/>
      <c r="JUQ6" s="72"/>
      <c r="JUS6" s="73"/>
      <c r="JUT6" s="72"/>
      <c r="JUW6" s="71"/>
      <c r="JUZ6" s="72"/>
      <c r="JVB6" s="73"/>
      <c r="JVC6" s="72"/>
      <c r="JVF6" s="71"/>
      <c r="JVI6" s="72"/>
      <c r="JVK6" s="73"/>
      <c r="JVL6" s="72"/>
      <c r="JVO6" s="71"/>
      <c r="JVR6" s="72"/>
      <c r="JVT6" s="73"/>
      <c r="JVU6" s="72"/>
      <c r="JVX6" s="71"/>
      <c r="JWA6" s="72"/>
      <c r="JWC6" s="73"/>
      <c r="JWD6" s="72"/>
      <c r="JWG6" s="71"/>
      <c r="JWJ6" s="72"/>
      <c r="JWL6" s="73"/>
      <c r="JWM6" s="72"/>
      <c r="JWP6" s="71"/>
      <c r="JWS6" s="72"/>
      <c r="JWU6" s="73"/>
      <c r="JWV6" s="72"/>
      <c r="JWY6" s="71"/>
      <c r="JXB6" s="72"/>
      <c r="JXD6" s="73"/>
      <c r="JXE6" s="72"/>
      <c r="JXH6" s="71"/>
      <c r="JXK6" s="72"/>
      <c r="JXM6" s="73"/>
      <c r="JXN6" s="72"/>
      <c r="JXQ6" s="71"/>
      <c r="JXT6" s="72"/>
      <c r="JXV6" s="73"/>
      <c r="JXW6" s="72"/>
      <c r="JXZ6" s="71"/>
      <c r="JYC6" s="72"/>
      <c r="JYE6" s="73"/>
      <c r="JYF6" s="72"/>
      <c r="JYI6" s="71"/>
      <c r="JYL6" s="72"/>
      <c r="JYN6" s="73"/>
      <c r="JYO6" s="72"/>
      <c r="JYR6" s="71"/>
      <c r="JYU6" s="72"/>
      <c r="JYW6" s="73"/>
      <c r="JYX6" s="72"/>
      <c r="JZA6" s="71"/>
      <c r="JZD6" s="72"/>
      <c r="JZF6" s="73"/>
      <c r="JZG6" s="72"/>
      <c r="JZJ6" s="71"/>
      <c r="JZM6" s="72"/>
      <c r="JZO6" s="73"/>
      <c r="JZP6" s="72"/>
      <c r="JZS6" s="71"/>
      <c r="JZV6" s="72"/>
      <c r="JZX6" s="73"/>
      <c r="JZY6" s="72"/>
      <c r="KAB6" s="71"/>
      <c r="KAE6" s="72"/>
      <c r="KAG6" s="73"/>
      <c r="KAH6" s="72"/>
      <c r="KAK6" s="71"/>
      <c r="KAN6" s="72"/>
      <c r="KAP6" s="73"/>
      <c r="KAQ6" s="72"/>
      <c r="KAT6" s="71"/>
      <c r="KAW6" s="72"/>
      <c r="KAY6" s="73"/>
      <c r="KAZ6" s="72"/>
      <c r="KBC6" s="71"/>
      <c r="KBF6" s="72"/>
      <c r="KBH6" s="73"/>
      <c r="KBI6" s="72"/>
      <c r="KBL6" s="71"/>
      <c r="KBO6" s="72"/>
      <c r="KBQ6" s="73"/>
      <c r="KBR6" s="72"/>
      <c r="KBU6" s="71"/>
      <c r="KBX6" s="72"/>
      <c r="KBZ6" s="73"/>
      <c r="KCA6" s="72"/>
      <c r="KCD6" s="71"/>
      <c r="KCG6" s="72"/>
      <c r="KCI6" s="73"/>
      <c r="KCJ6" s="72"/>
      <c r="KCM6" s="71"/>
      <c r="KCP6" s="72"/>
      <c r="KCR6" s="73"/>
      <c r="KCS6" s="72"/>
      <c r="KCV6" s="71"/>
      <c r="KCY6" s="72"/>
      <c r="KDA6" s="73"/>
      <c r="KDB6" s="72"/>
      <c r="KDE6" s="71"/>
      <c r="KDH6" s="72"/>
      <c r="KDJ6" s="73"/>
      <c r="KDK6" s="72"/>
      <c r="KDN6" s="71"/>
      <c r="KDQ6" s="72"/>
      <c r="KDS6" s="73"/>
      <c r="KDT6" s="72"/>
      <c r="KDW6" s="71"/>
      <c r="KDZ6" s="72"/>
      <c r="KEB6" s="73"/>
      <c r="KEC6" s="72"/>
      <c r="KEF6" s="71"/>
      <c r="KEI6" s="72"/>
      <c r="KEK6" s="73"/>
      <c r="KEL6" s="72"/>
      <c r="KEO6" s="71"/>
      <c r="KER6" s="72"/>
      <c r="KET6" s="73"/>
      <c r="KEU6" s="72"/>
      <c r="KEX6" s="71"/>
      <c r="KFA6" s="72"/>
      <c r="KFC6" s="73"/>
      <c r="KFD6" s="72"/>
      <c r="KFG6" s="71"/>
      <c r="KFJ6" s="72"/>
      <c r="KFL6" s="73"/>
      <c r="KFM6" s="72"/>
      <c r="KFP6" s="71"/>
      <c r="KFS6" s="72"/>
      <c r="KFU6" s="73"/>
      <c r="KFV6" s="72"/>
      <c r="KFY6" s="71"/>
      <c r="KGB6" s="72"/>
      <c r="KGD6" s="73"/>
      <c r="KGE6" s="72"/>
      <c r="KGH6" s="71"/>
      <c r="KGK6" s="72"/>
      <c r="KGM6" s="73"/>
      <c r="KGN6" s="72"/>
      <c r="KGQ6" s="71"/>
      <c r="KGT6" s="72"/>
      <c r="KGV6" s="73"/>
      <c r="KGW6" s="72"/>
      <c r="KGZ6" s="71"/>
      <c r="KHC6" s="72"/>
      <c r="KHE6" s="73"/>
      <c r="KHF6" s="72"/>
      <c r="KHI6" s="71"/>
      <c r="KHL6" s="72"/>
      <c r="KHN6" s="73"/>
      <c r="KHO6" s="72"/>
      <c r="KHR6" s="71"/>
      <c r="KHU6" s="72"/>
      <c r="KHW6" s="73"/>
      <c r="KHX6" s="72"/>
      <c r="KIA6" s="71"/>
      <c r="KID6" s="72"/>
      <c r="KIF6" s="73"/>
      <c r="KIG6" s="72"/>
      <c r="KIJ6" s="71"/>
      <c r="KIM6" s="72"/>
      <c r="KIO6" s="73"/>
      <c r="KIP6" s="72"/>
      <c r="KIS6" s="71"/>
      <c r="KIV6" s="72"/>
      <c r="KIX6" s="73"/>
      <c r="KIY6" s="72"/>
      <c r="KJB6" s="71"/>
      <c r="KJE6" s="72"/>
      <c r="KJG6" s="73"/>
      <c r="KJH6" s="72"/>
      <c r="KJK6" s="71"/>
      <c r="KJN6" s="72"/>
      <c r="KJP6" s="73"/>
      <c r="KJQ6" s="72"/>
      <c r="KJT6" s="71"/>
      <c r="KJW6" s="72"/>
      <c r="KJY6" s="73"/>
      <c r="KJZ6" s="72"/>
      <c r="KKC6" s="71"/>
      <c r="KKF6" s="72"/>
      <c r="KKH6" s="73"/>
      <c r="KKI6" s="72"/>
      <c r="KKL6" s="71"/>
      <c r="KKO6" s="72"/>
      <c r="KKQ6" s="73"/>
      <c r="KKR6" s="72"/>
      <c r="KKU6" s="71"/>
      <c r="KKX6" s="72"/>
      <c r="KKZ6" s="73"/>
      <c r="KLA6" s="72"/>
      <c r="KLD6" s="71"/>
      <c r="KLG6" s="72"/>
      <c r="KLI6" s="73"/>
      <c r="KLJ6" s="72"/>
      <c r="KLM6" s="71"/>
      <c r="KLP6" s="72"/>
      <c r="KLR6" s="73"/>
      <c r="KLS6" s="72"/>
      <c r="KLV6" s="71"/>
      <c r="KLY6" s="72"/>
      <c r="KMA6" s="73"/>
      <c r="KMB6" s="72"/>
      <c r="KME6" s="71"/>
      <c r="KMH6" s="72"/>
      <c r="KMJ6" s="73"/>
      <c r="KMK6" s="72"/>
      <c r="KMN6" s="71"/>
      <c r="KMQ6" s="72"/>
      <c r="KMS6" s="73"/>
      <c r="KMT6" s="72"/>
      <c r="KMW6" s="71"/>
      <c r="KMZ6" s="72"/>
      <c r="KNB6" s="73"/>
      <c r="KNC6" s="72"/>
      <c r="KNF6" s="71"/>
      <c r="KNI6" s="72"/>
      <c r="KNK6" s="73"/>
      <c r="KNL6" s="72"/>
      <c r="KNO6" s="71"/>
      <c r="KNR6" s="72"/>
      <c r="KNT6" s="73"/>
      <c r="KNU6" s="72"/>
      <c r="KNX6" s="71"/>
      <c r="KOA6" s="72"/>
      <c r="KOC6" s="73"/>
      <c r="KOD6" s="72"/>
      <c r="KOG6" s="71"/>
      <c r="KOJ6" s="72"/>
      <c r="KOL6" s="73"/>
      <c r="KOM6" s="72"/>
      <c r="KOP6" s="71"/>
      <c r="KOS6" s="72"/>
      <c r="KOU6" s="73"/>
      <c r="KOV6" s="72"/>
      <c r="KOY6" s="71"/>
      <c r="KPB6" s="72"/>
      <c r="KPD6" s="73"/>
      <c r="KPE6" s="72"/>
      <c r="KPH6" s="71"/>
      <c r="KPK6" s="72"/>
      <c r="KPM6" s="73"/>
      <c r="KPN6" s="72"/>
      <c r="KPQ6" s="71"/>
      <c r="KPT6" s="72"/>
      <c r="KPV6" s="73"/>
      <c r="KPW6" s="72"/>
      <c r="KPZ6" s="71"/>
      <c r="KQC6" s="72"/>
      <c r="KQE6" s="73"/>
      <c r="KQF6" s="72"/>
      <c r="KQI6" s="71"/>
      <c r="KQL6" s="72"/>
      <c r="KQN6" s="73"/>
      <c r="KQO6" s="72"/>
      <c r="KQR6" s="71"/>
      <c r="KQU6" s="72"/>
      <c r="KQW6" s="73"/>
      <c r="KQX6" s="72"/>
      <c r="KRA6" s="71"/>
      <c r="KRD6" s="72"/>
      <c r="KRF6" s="73"/>
      <c r="KRG6" s="72"/>
      <c r="KRJ6" s="71"/>
      <c r="KRM6" s="72"/>
      <c r="KRO6" s="73"/>
      <c r="KRP6" s="72"/>
      <c r="KRS6" s="71"/>
      <c r="KRV6" s="72"/>
      <c r="KRX6" s="73"/>
      <c r="KRY6" s="72"/>
      <c r="KSB6" s="71"/>
      <c r="KSE6" s="72"/>
      <c r="KSG6" s="73"/>
      <c r="KSH6" s="72"/>
      <c r="KSK6" s="71"/>
      <c r="KSN6" s="72"/>
      <c r="KSP6" s="73"/>
      <c r="KSQ6" s="72"/>
      <c r="KST6" s="71"/>
      <c r="KSW6" s="72"/>
      <c r="KSY6" s="73"/>
      <c r="KSZ6" s="72"/>
      <c r="KTC6" s="71"/>
      <c r="KTF6" s="72"/>
      <c r="KTH6" s="73"/>
      <c r="KTI6" s="72"/>
      <c r="KTL6" s="71"/>
      <c r="KTO6" s="72"/>
      <c r="KTQ6" s="73"/>
      <c r="KTR6" s="72"/>
      <c r="KTU6" s="71"/>
      <c r="KTX6" s="72"/>
      <c r="KTZ6" s="73"/>
      <c r="KUA6" s="72"/>
      <c r="KUD6" s="71"/>
      <c r="KUG6" s="72"/>
      <c r="KUI6" s="73"/>
      <c r="KUJ6" s="72"/>
      <c r="KUM6" s="71"/>
      <c r="KUP6" s="72"/>
      <c r="KUR6" s="73"/>
      <c r="KUS6" s="72"/>
      <c r="KUV6" s="71"/>
      <c r="KUY6" s="72"/>
      <c r="KVA6" s="73"/>
      <c r="KVB6" s="72"/>
      <c r="KVE6" s="71"/>
      <c r="KVH6" s="72"/>
      <c r="KVJ6" s="73"/>
      <c r="KVK6" s="72"/>
      <c r="KVN6" s="71"/>
      <c r="KVQ6" s="72"/>
      <c r="KVS6" s="73"/>
      <c r="KVT6" s="72"/>
      <c r="KVW6" s="71"/>
      <c r="KVZ6" s="72"/>
      <c r="KWB6" s="73"/>
      <c r="KWC6" s="72"/>
      <c r="KWF6" s="71"/>
      <c r="KWI6" s="72"/>
      <c r="KWK6" s="73"/>
      <c r="KWL6" s="72"/>
      <c r="KWO6" s="71"/>
      <c r="KWR6" s="72"/>
      <c r="KWT6" s="73"/>
      <c r="KWU6" s="72"/>
      <c r="KWX6" s="71"/>
      <c r="KXA6" s="72"/>
      <c r="KXC6" s="73"/>
      <c r="KXD6" s="72"/>
      <c r="KXG6" s="71"/>
      <c r="KXJ6" s="72"/>
      <c r="KXL6" s="73"/>
      <c r="KXM6" s="72"/>
      <c r="KXP6" s="71"/>
      <c r="KXS6" s="72"/>
      <c r="KXU6" s="73"/>
      <c r="KXV6" s="72"/>
      <c r="KXY6" s="71"/>
      <c r="KYB6" s="72"/>
      <c r="KYD6" s="73"/>
      <c r="KYE6" s="72"/>
      <c r="KYH6" s="71"/>
      <c r="KYK6" s="72"/>
      <c r="KYM6" s="73"/>
      <c r="KYN6" s="72"/>
      <c r="KYQ6" s="71"/>
      <c r="KYT6" s="72"/>
      <c r="KYV6" s="73"/>
      <c r="KYW6" s="72"/>
      <c r="KYZ6" s="71"/>
      <c r="KZC6" s="72"/>
      <c r="KZE6" s="73"/>
      <c r="KZF6" s="72"/>
      <c r="KZI6" s="71"/>
      <c r="KZL6" s="72"/>
      <c r="KZN6" s="73"/>
      <c r="KZO6" s="72"/>
      <c r="KZR6" s="71"/>
      <c r="KZU6" s="72"/>
      <c r="KZW6" s="73"/>
      <c r="KZX6" s="72"/>
      <c r="LAA6" s="71"/>
      <c r="LAD6" s="72"/>
      <c r="LAF6" s="73"/>
      <c r="LAG6" s="72"/>
      <c r="LAJ6" s="71"/>
      <c r="LAM6" s="72"/>
      <c r="LAO6" s="73"/>
      <c r="LAP6" s="72"/>
      <c r="LAS6" s="71"/>
      <c r="LAV6" s="72"/>
      <c r="LAX6" s="73"/>
      <c r="LAY6" s="72"/>
      <c r="LBB6" s="71"/>
      <c r="LBE6" s="72"/>
      <c r="LBG6" s="73"/>
      <c r="LBH6" s="72"/>
      <c r="LBK6" s="71"/>
      <c r="LBN6" s="72"/>
      <c r="LBP6" s="73"/>
      <c r="LBQ6" s="72"/>
      <c r="LBT6" s="71"/>
      <c r="LBW6" s="72"/>
      <c r="LBY6" s="73"/>
      <c r="LBZ6" s="72"/>
      <c r="LCC6" s="71"/>
      <c r="LCF6" s="72"/>
      <c r="LCH6" s="73"/>
      <c r="LCI6" s="72"/>
      <c r="LCL6" s="71"/>
      <c r="LCO6" s="72"/>
      <c r="LCQ6" s="73"/>
      <c r="LCR6" s="72"/>
      <c r="LCU6" s="71"/>
      <c r="LCX6" s="72"/>
      <c r="LCZ6" s="73"/>
      <c r="LDA6" s="72"/>
      <c r="LDD6" s="71"/>
      <c r="LDG6" s="72"/>
      <c r="LDI6" s="73"/>
      <c r="LDJ6" s="72"/>
      <c r="LDM6" s="71"/>
      <c r="LDP6" s="72"/>
      <c r="LDR6" s="73"/>
      <c r="LDS6" s="72"/>
      <c r="LDV6" s="71"/>
      <c r="LDY6" s="72"/>
      <c r="LEA6" s="73"/>
      <c r="LEB6" s="72"/>
      <c r="LEE6" s="71"/>
      <c r="LEH6" s="72"/>
      <c r="LEJ6" s="73"/>
      <c r="LEK6" s="72"/>
      <c r="LEN6" s="71"/>
      <c r="LEQ6" s="72"/>
      <c r="LES6" s="73"/>
      <c r="LET6" s="72"/>
      <c r="LEW6" s="71"/>
      <c r="LEZ6" s="72"/>
      <c r="LFB6" s="73"/>
      <c r="LFC6" s="72"/>
      <c r="LFF6" s="71"/>
      <c r="LFI6" s="72"/>
      <c r="LFK6" s="73"/>
      <c r="LFL6" s="72"/>
      <c r="LFO6" s="71"/>
      <c r="LFR6" s="72"/>
      <c r="LFT6" s="73"/>
      <c r="LFU6" s="72"/>
      <c r="LFX6" s="71"/>
      <c r="LGA6" s="72"/>
      <c r="LGC6" s="73"/>
      <c r="LGD6" s="72"/>
      <c r="LGG6" s="71"/>
      <c r="LGJ6" s="72"/>
      <c r="LGL6" s="73"/>
      <c r="LGM6" s="72"/>
      <c r="LGP6" s="71"/>
      <c r="LGS6" s="72"/>
      <c r="LGU6" s="73"/>
      <c r="LGV6" s="72"/>
      <c r="LGY6" s="71"/>
      <c r="LHB6" s="72"/>
      <c r="LHD6" s="73"/>
      <c r="LHE6" s="72"/>
      <c r="LHH6" s="71"/>
      <c r="LHK6" s="72"/>
      <c r="LHM6" s="73"/>
      <c r="LHN6" s="72"/>
      <c r="LHQ6" s="71"/>
      <c r="LHT6" s="72"/>
      <c r="LHV6" s="73"/>
      <c r="LHW6" s="72"/>
      <c r="LHZ6" s="71"/>
      <c r="LIC6" s="72"/>
      <c r="LIE6" s="73"/>
      <c r="LIF6" s="72"/>
      <c r="LII6" s="71"/>
      <c r="LIL6" s="72"/>
      <c r="LIN6" s="73"/>
      <c r="LIO6" s="72"/>
      <c r="LIR6" s="71"/>
      <c r="LIU6" s="72"/>
      <c r="LIW6" s="73"/>
      <c r="LIX6" s="72"/>
      <c r="LJA6" s="71"/>
      <c r="LJD6" s="72"/>
      <c r="LJF6" s="73"/>
      <c r="LJG6" s="72"/>
      <c r="LJJ6" s="71"/>
      <c r="LJM6" s="72"/>
      <c r="LJO6" s="73"/>
      <c r="LJP6" s="72"/>
      <c r="LJS6" s="71"/>
      <c r="LJV6" s="72"/>
      <c r="LJX6" s="73"/>
      <c r="LJY6" s="72"/>
      <c r="LKB6" s="71"/>
      <c r="LKE6" s="72"/>
      <c r="LKG6" s="73"/>
      <c r="LKH6" s="72"/>
      <c r="LKK6" s="71"/>
      <c r="LKN6" s="72"/>
      <c r="LKP6" s="73"/>
      <c r="LKQ6" s="72"/>
      <c r="LKT6" s="71"/>
      <c r="LKW6" s="72"/>
      <c r="LKY6" s="73"/>
      <c r="LKZ6" s="72"/>
      <c r="LLC6" s="71"/>
      <c r="LLF6" s="72"/>
      <c r="LLH6" s="73"/>
      <c r="LLI6" s="72"/>
      <c r="LLL6" s="71"/>
      <c r="LLO6" s="72"/>
      <c r="LLQ6" s="73"/>
      <c r="LLR6" s="72"/>
      <c r="LLU6" s="71"/>
      <c r="LLX6" s="72"/>
      <c r="LLZ6" s="73"/>
      <c r="LMA6" s="72"/>
      <c r="LMD6" s="71"/>
      <c r="LMG6" s="72"/>
      <c r="LMI6" s="73"/>
      <c r="LMJ6" s="72"/>
      <c r="LMM6" s="71"/>
      <c r="LMP6" s="72"/>
      <c r="LMR6" s="73"/>
      <c r="LMS6" s="72"/>
      <c r="LMV6" s="71"/>
      <c r="LMY6" s="72"/>
      <c r="LNA6" s="73"/>
      <c r="LNB6" s="72"/>
      <c r="LNE6" s="71"/>
      <c r="LNH6" s="72"/>
      <c r="LNJ6" s="73"/>
      <c r="LNK6" s="72"/>
      <c r="LNN6" s="71"/>
      <c r="LNQ6" s="72"/>
      <c r="LNS6" s="73"/>
      <c r="LNT6" s="72"/>
      <c r="LNW6" s="71"/>
      <c r="LNZ6" s="72"/>
      <c r="LOB6" s="73"/>
      <c r="LOC6" s="72"/>
      <c r="LOF6" s="71"/>
      <c r="LOI6" s="72"/>
      <c r="LOK6" s="73"/>
      <c r="LOL6" s="72"/>
      <c r="LOO6" s="71"/>
      <c r="LOR6" s="72"/>
      <c r="LOT6" s="73"/>
      <c r="LOU6" s="72"/>
      <c r="LOX6" s="71"/>
      <c r="LPA6" s="72"/>
      <c r="LPC6" s="73"/>
      <c r="LPD6" s="72"/>
      <c r="LPG6" s="71"/>
      <c r="LPJ6" s="72"/>
      <c r="LPL6" s="73"/>
      <c r="LPM6" s="72"/>
      <c r="LPP6" s="71"/>
      <c r="LPS6" s="72"/>
      <c r="LPU6" s="73"/>
      <c r="LPV6" s="72"/>
      <c r="LPY6" s="71"/>
      <c r="LQB6" s="72"/>
      <c r="LQD6" s="73"/>
      <c r="LQE6" s="72"/>
      <c r="LQH6" s="71"/>
      <c r="LQK6" s="72"/>
      <c r="LQM6" s="73"/>
      <c r="LQN6" s="72"/>
      <c r="LQQ6" s="71"/>
      <c r="LQT6" s="72"/>
      <c r="LQV6" s="73"/>
      <c r="LQW6" s="72"/>
      <c r="LQZ6" s="71"/>
      <c r="LRC6" s="72"/>
      <c r="LRE6" s="73"/>
      <c r="LRF6" s="72"/>
      <c r="LRI6" s="71"/>
      <c r="LRL6" s="72"/>
      <c r="LRN6" s="73"/>
      <c r="LRO6" s="72"/>
      <c r="LRR6" s="71"/>
      <c r="LRU6" s="72"/>
      <c r="LRW6" s="73"/>
      <c r="LRX6" s="72"/>
      <c r="LSA6" s="71"/>
      <c r="LSD6" s="72"/>
      <c r="LSF6" s="73"/>
      <c r="LSG6" s="72"/>
      <c r="LSJ6" s="71"/>
      <c r="LSM6" s="72"/>
      <c r="LSO6" s="73"/>
      <c r="LSP6" s="72"/>
      <c r="LSS6" s="71"/>
      <c r="LSV6" s="72"/>
      <c r="LSX6" s="73"/>
      <c r="LSY6" s="72"/>
      <c r="LTB6" s="71"/>
      <c r="LTE6" s="72"/>
      <c r="LTG6" s="73"/>
      <c r="LTH6" s="72"/>
      <c r="LTK6" s="71"/>
      <c r="LTN6" s="72"/>
      <c r="LTP6" s="73"/>
      <c r="LTQ6" s="72"/>
      <c r="LTT6" s="71"/>
      <c r="LTW6" s="72"/>
      <c r="LTY6" s="73"/>
      <c r="LTZ6" s="72"/>
      <c r="LUC6" s="71"/>
      <c r="LUF6" s="72"/>
      <c r="LUH6" s="73"/>
      <c r="LUI6" s="72"/>
      <c r="LUL6" s="71"/>
      <c r="LUO6" s="72"/>
      <c r="LUQ6" s="73"/>
      <c r="LUR6" s="72"/>
      <c r="LUU6" s="71"/>
      <c r="LUX6" s="72"/>
      <c r="LUZ6" s="73"/>
      <c r="LVA6" s="72"/>
      <c r="LVD6" s="71"/>
      <c r="LVG6" s="72"/>
      <c r="LVI6" s="73"/>
      <c r="LVJ6" s="72"/>
      <c r="LVM6" s="71"/>
      <c r="LVP6" s="72"/>
      <c r="LVR6" s="73"/>
      <c r="LVS6" s="72"/>
      <c r="LVV6" s="71"/>
      <c r="LVY6" s="72"/>
      <c r="LWA6" s="73"/>
      <c r="LWB6" s="72"/>
      <c r="LWE6" s="71"/>
      <c r="LWH6" s="72"/>
      <c r="LWJ6" s="73"/>
      <c r="LWK6" s="72"/>
      <c r="LWN6" s="71"/>
      <c r="LWQ6" s="72"/>
      <c r="LWS6" s="73"/>
      <c r="LWT6" s="72"/>
      <c r="LWW6" s="71"/>
      <c r="LWZ6" s="72"/>
      <c r="LXB6" s="73"/>
      <c r="LXC6" s="72"/>
      <c r="LXF6" s="71"/>
      <c r="LXI6" s="72"/>
      <c r="LXK6" s="73"/>
      <c r="LXL6" s="72"/>
      <c r="LXO6" s="71"/>
      <c r="LXR6" s="72"/>
      <c r="LXT6" s="73"/>
      <c r="LXU6" s="72"/>
      <c r="LXX6" s="71"/>
      <c r="LYA6" s="72"/>
      <c r="LYC6" s="73"/>
      <c r="LYD6" s="72"/>
      <c r="LYG6" s="71"/>
      <c r="LYJ6" s="72"/>
      <c r="LYL6" s="73"/>
      <c r="LYM6" s="72"/>
      <c r="LYP6" s="71"/>
      <c r="LYS6" s="72"/>
      <c r="LYU6" s="73"/>
      <c r="LYV6" s="72"/>
      <c r="LYY6" s="71"/>
      <c r="LZB6" s="72"/>
      <c r="LZD6" s="73"/>
      <c r="LZE6" s="72"/>
      <c r="LZH6" s="71"/>
      <c r="LZK6" s="72"/>
      <c r="LZM6" s="73"/>
      <c r="LZN6" s="72"/>
      <c r="LZQ6" s="71"/>
      <c r="LZT6" s="72"/>
      <c r="LZV6" s="73"/>
      <c r="LZW6" s="72"/>
      <c r="LZZ6" s="71"/>
      <c r="MAC6" s="72"/>
      <c r="MAE6" s="73"/>
      <c r="MAF6" s="72"/>
      <c r="MAI6" s="71"/>
      <c r="MAL6" s="72"/>
      <c r="MAN6" s="73"/>
      <c r="MAO6" s="72"/>
      <c r="MAR6" s="71"/>
      <c r="MAU6" s="72"/>
      <c r="MAW6" s="73"/>
      <c r="MAX6" s="72"/>
      <c r="MBA6" s="71"/>
      <c r="MBD6" s="72"/>
      <c r="MBF6" s="73"/>
      <c r="MBG6" s="72"/>
      <c r="MBJ6" s="71"/>
      <c r="MBM6" s="72"/>
      <c r="MBO6" s="73"/>
      <c r="MBP6" s="72"/>
      <c r="MBS6" s="71"/>
      <c r="MBV6" s="72"/>
      <c r="MBX6" s="73"/>
      <c r="MBY6" s="72"/>
      <c r="MCB6" s="71"/>
      <c r="MCE6" s="72"/>
      <c r="MCG6" s="73"/>
      <c r="MCH6" s="72"/>
      <c r="MCK6" s="71"/>
      <c r="MCN6" s="72"/>
      <c r="MCP6" s="73"/>
      <c r="MCQ6" s="72"/>
      <c r="MCT6" s="71"/>
      <c r="MCW6" s="72"/>
      <c r="MCY6" s="73"/>
      <c r="MCZ6" s="72"/>
      <c r="MDC6" s="71"/>
      <c r="MDF6" s="72"/>
      <c r="MDH6" s="73"/>
      <c r="MDI6" s="72"/>
      <c r="MDL6" s="71"/>
      <c r="MDO6" s="72"/>
      <c r="MDQ6" s="73"/>
      <c r="MDR6" s="72"/>
      <c r="MDU6" s="71"/>
      <c r="MDX6" s="72"/>
      <c r="MDZ6" s="73"/>
      <c r="MEA6" s="72"/>
      <c r="MED6" s="71"/>
      <c r="MEG6" s="72"/>
      <c r="MEI6" s="73"/>
      <c r="MEJ6" s="72"/>
      <c r="MEM6" s="71"/>
      <c r="MEP6" s="72"/>
      <c r="MER6" s="73"/>
      <c r="MES6" s="72"/>
      <c r="MEV6" s="71"/>
      <c r="MEY6" s="72"/>
      <c r="MFA6" s="73"/>
      <c r="MFB6" s="72"/>
      <c r="MFE6" s="71"/>
      <c r="MFH6" s="72"/>
      <c r="MFJ6" s="73"/>
      <c r="MFK6" s="72"/>
      <c r="MFN6" s="71"/>
      <c r="MFQ6" s="72"/>
      <c r="MFS6" s="73"/>
      <c r="MFT6" s="72"/>
      <c r="MFW6" s="71"/>
      <c r="MFZ6" s="72"/>
      <c r="MGB6" s="73"/>
      <c r="MGC6" s="72"/>
      <c r="MGF6" s="71"/>
      <c r="MGI6" s="72"/>
      <c r="MGK6" s="73"/>
      <c r="MGL6" s="72"/>
      <c r="MGO6" s="71"/>
      <c r="MGR6" s="72"/>
      <c r="MGT6" s="73"/>
      <c r="MGU6" s="72"/>
      <c r="MGX6" s="71"/>
      <c r="MHA6" s="72"/>
      <c r="MHC6" s="73"/>
      <c r="MHD6" s="72"/>
      <c r="MHG6" s="71"/>
      <c r="MHJ6" s="72"/>
      <c r="MHL6" s="73"/>
      <c r="MHM6" s="72"/>
      <c r="MHP6" s="71"/>
      <c r="MHS6" s="72"/>
      <c r="MHU6" s="73"/>
      <c r="MHV6" s="72"/>
      <c r="MHY6" s="71"/>
      <c r="MIB6" s="72"/>
      <c r="MID6" s="73"/>
      <c r="MIE6" s="72"/>
      <c r="MIH6" s="71"/>
      <c r="MIK6" s="72"/>
      <c r="MIM6" s="73"/>
      <c r="MIN6" s="72"/>
      <c r="MIQ6" s="71"/>
      <c r="MIT6" s="72"/>
      <c r="MIV6" s="73"/>
      <c r="MIW6" s="72"/>
      <c r="MIZ6" s="71"/>
      <c r="MJC6" s="72"/>
      <c r="MJE6" s="73"/>
      <c r="MJF6" s="72"/>
      <c r="MJI6" s="71"/>
      <c r="MJL6" s="72"/>
      <c r="MJN6" s="73"/>
      <c r="MJO6" s="72"/>
      <c r="MJR6" s="71"/>
      <c r="MJU6" s="72"/>
      <c r="MJW6" s="73"/>
      <c r="MJX6" s="72"/>
      <c r="MKA6" s="71"/>
      <c r="MKD6" s="72"/>
      <c r="MKF6" s="73"/>
      <c r="MKG6" s="72"/>
      <c r="MKJ6" s="71"/>
      <c r="MKM6" s="72"/>
      <c r="MKO6" s="73"/>
      <c r="MKP6" s="72"/>
      <c r="MKS6" s="71"/>
      <c r="MKV6" s="72"/>
      <c r="MKX6" s="73"/>
      <c r="MKY6" s="72"/>
      <c r="MLB6" s="71"/>
      <c r="MLE6" s="72"/>
      <c r="MLG6" s="73"/>
      <c r="MLH6" s="72"/>
      <c r="MLK6" s="71"/>
      <c r="MLN6" s="72"/>
      <c r="MLP6" s="73"/>
      <c r="MLQ6" s="72"/>
      <c r="MLT6" s="71"/>
      <c r="MLW6" s="72"/>
      <c r="MLY6" s="73"/>
      <c r="MLZ6" s="72"/>
      <c r="MMC6" s="71"/>
      <c r="MMF6" s="72"/>
      <c r="MMH6" s="73"/>
      <c r="MMI6" s="72"/>
      <c r="MML6" s="71"/>
      <c r="MMO6" s="72"/>
      <c r="MMQ6" s="73"/>
      <c r="MMR6" s="72"/>
      <c r="MMU6" s="71"/>
      <c r="MMX6" s="72"/>
      <c r="MMZ6" s="73"/>
      <c r="MNA6" s="72"/>
      <c r="MND6" s="71"/>
      <c r="MNG6" s="72"/>
      <c r="MNI6" s="73"/>
      <c r="MNJ6" s="72"/>
      <c r="MNM6" s="71"/>
      <c r="MNP6" s="72"/>
      <c r="MNR6" s="73"/>
      <c r="MNS6" s="72"/>
      <c r="MNV6" s="71"/>
      <c r="MNY6" s="72"/>
      <c r="MOA6" s="73"/>
      <c r="MOB6" s="72"/>
      <c r="MOE6" s="71"/>
      <c r="MOH6" s="72"/>
      <c r="MOJ6" s="73"/>
      <c r="MOK6" s="72"/>
      <c r="MON6" s="71"/>
      <c r="MOQ6" s="72"/>
      <c r="MOS6" s="73"/>
      <c r="MOT6" s="72"/>
      <c r="MOW6" s="71"/>
      <c r="MOZ6" s="72"/>
      <c r="MPB6" s="73"/>
      <c r="MPC6" s="72"/>
      <c r="MPF6" s="71"/>
      <c r="MPI6" s="72"/>
      <c r="MPK6" s="73"/>
      <c r="MPL6" s="72"/>
      <c r="MPO6" s="71"/>
      <c r="MPR6" s="72"/>
      <c r="MPT6" s="73"/>
      <c r="MPU6" s="72"/>
      <c r="MPX6" s="71"/>
      <c r="MQA6" s="72"/>
      <c r="MQC6" s="73"/>
      <c r="MQD6" s="72"/>
      <c r="MQG6" s="71"/>
      <c r="MQJ6" s="72"/>
      <c r="MQL6" s="73"/>
      <c r="MQM6" s="72"/>
      <c r="MQP6" s="71"/>
      <c r="MQS6" s="72"/>
      <c r="MQU6" s="73"/>
      <c r="MQV6" s="72"/>
      <c r="MQY6" s="71"/>
      <c r="MRB6" s="72"/>
      <c r="MRD6" s="73"/>
      <c r="MRE6" s="72"/>
      <c r="MRH6" s="71"/>
      <c r="MRK6" s="72"/>
      <c r="MRM6" s="73"/>
      <c r="MRN6" s="72"/>
      <c r="MRQ6" s="71"/>
      <c r="MRT6" s="72"/>
      <c r="MRV6" s="73"/>
      <c r="MRW6" s="72"/>
      <c r="MRZ6" s="71"/>
      <c r="MSC6" s="72"/>
      <c r="MSE6" s="73"/>
      <c r="MSF6" s="72"/>
      <c r="MSI6" s="71"/>
      <c r="MSL6" s="72"/>
      <c r="MSN6" s="73"/>
      <c r="MSO6" s="72"/>
      <c r="MSR6" s="71"/>
      <c r="MSU6" s="72"/>
      <c r="MSW6" s="73"/>
      <c r="MSX6" s="72"/>
      <c r="MTA6" s="71"/>
      <c r="MTD6" s="72"/>
      <c r="MTF6" s="73"/>
      <c r="MTG6" s="72"/>
      <c r="MTJ6" s="71"/>
      <c r="MTM6" s="72"/>
      <c r="MTO6" s="73"/>
      <c r="MTP6" s="72"/>
      <c r="MTS6" s="71"/>
      <c r="MTV6" s="72"/>
      <c r="MTX6" s="73"/>
      <c r="MTY6" s="72"/>
      <c r="MUB6" s="71"/>
      <c r="MUE6" s="72"/>
      <c r="MUG6" s="73"/>
      <c r="MUH6" s="72"/>
      <c r="MUK6" s="71"/>
      <c r="MUN6" s="72"/>
      <c r="MUP6" s="73"/>
      <c r="MUQ6" s="72"/>
      <c r="MUT6" s="71"/>
      <c r="MUW6" s="72"/>
      <c r="MUY6" s="73"/>
      <c r="MUZ6" s="72"/>
      <c r="MVC6" s="71"/>
      <c r="MVF6" s="72"/>
      <c r="MVH6" s="73"/>
      <c r="MVI6" s="72"/>
      <c r="MVL6" s="71"/>
      <c r="MVO6" s="72"/>
      <c r="MVQ6" s="73"/>
      <c r="MVR6" s="72"/>
      <c r="MVU6" s="71"/>
      <c r="MVX6" s="72"/>
      <c r="MVZ6" s="73"/>
      <c r="MWA6" s="72"/>
      <c r="MWD6" s="71"/>
      <c r="MWG6" s="72"/>
      <c r="MWI6" s="73"/>
      <c r="MWJ6" s="72"/>
      <c r="MWM6" s="71"/>
      <c r="MWP6" s="72"/>
      <c r="MWR6" s="73"/>
      <c r="MWS6" s="72"/>
      <c r="MWV6" s="71"/>
      <c r="MWY6" s="72"/>
      <c r="MXA6" s="73"/>
      <c r="MXB6" s="72"/>
      <c r="MXE6" s="71"/>
      <c r="MXH6" s="72"/>
      <c r="MXJ6" s="73"/>
      <c r="MXK6" s="72"/>
      <c r="MXN6" s="71"/>
      <c r="MXQ6" s="72"/>
      <c r="MXS6" s="73"/>
      <c r="MXT6" s="72"/>
      <c r="MXW6" s="71"/>
      <c r="MXZ6" s="72"/>
      <c r="MYB6" s="73"/>
      <c r="MYC6" s="72"/>
      <c r="MYF6" s="71"/>
      <c r="MYI6" s="72"/>
      <c r="MYK6" s="73"/>
      <c r="MYL6" s="72"/>
      <c r="MYO6" s="71"/>
      <c r="MYR6" s="72"/>
      <c r="MYT6" s="73"/>
      <c r="MYU6" s="72"/>
      <c r="MYX6" s="71"/>
      <c r="MZA6" s="72"/>
      <c r="MZC6" s="73"/>
      <c r="MZD6" s="72"/>
      <c r="MZG6" s="71"/>
      <c r="MZJ6" s="72"/>
      <c r="MZL6" s="73"/>
      <c r="MZM6" s="72"/>
      <c r="MZP6" s="71"/>
      <c r="MZS6" s="72"/>
      <c r="MZU6" s="73"/>
      <c r="MZV6" s="72"/>
      <c r="MZY6" s="71"/>
      <c r="NAB6" s="72"/>
      <c r="NAD6" s="73"/>
      <c r="NAE6" s="72"/>
      <c r="NAH6" s="71"/>
      <c r="NAK6" s="72"/>
      <c r="NAM6" s="73"/>
      <c r="NAN6" s="72"/>
      <c r="NAQ6" s="71"/>
      <c r="NAT6" s="72"/>
      <c r="NAV6" s="73"/>
      <c r="NAW6" s="72"/>
      <c r="NAZ6" s="71"/>
      <c r="NBC6" s="72"/>
      <c r="NBE6" s="73"/>
      <c r="NBF6" s="72"/>
      <c r="NBI6" s="71"/>
      <c r="NBL6" s="72"/>
      <c r="NBN6" s="73"/>
      <c r="NBO6" s="72"/>
      <c r="NBR6" s="71"/>
      <c r="NBU6" s="72"/>
      <c r="NBW6" s="73"/>
      <c r="NBX6" s="72"/>
      <c r="NCA6" s="71"/>
      <c r="NCD6" s="72"/>
      <c r="NCF6" s="73"/>
      <c r="NCG6" s="72"/>
      <c r="NCJ6" s="71"/>
      <c r="NCM6" s="72"/>
      <c r="NCO6" s="73"/>
      <c r="NCP6" s="72"/>
      <c r="NCS6" s="71"/>
      <c r="NCV6" s="72"/>
      <c r="NCX6" s="73"/>
      <c r="NCY6" s="72"/>
      <c r="NDB6" s="71"/>
      <c r="NDE6" s="72"/>
      <c r="NDG6" s="73"/>
      <c r="NDH6" s="72"/>
      <c r="NDK6" s="71"/>
      <c r="NDN6" s="72"/>
      <c r="NDP6" s="73"/>
      <c r="NDQ6" s="72"/>
      <c r="NDT6" s="71"/>
      <c r="NDW6" s="72"/>
      <c r="NDY6" s="73"/>
      <c r="NDZ6" s="72"/>
      <c r="NEC6" s="71"/>
      <c r="NEF6" s="72"/>
      <c r="NEH6" s="73"/>
      <c r="NEI6" s="72"/>
      <c r="NEL6" s="71"/>
      <c r="NEO6" s="72"/>
      <c r="NEQ6" s="73"/>
      <c r="NER6" s="72"/>
      <c r="NEU6" s="71"/>
      <c r="NEX6" s="72"/>
      <c r="NEZ6" s="73"/>
      <c r="NFA6" s="72"/>
      <c r="NFD6" s="71"/>
      <c r="NFG6" s="72"/>
      <c r="NFI6" s="73"/>
      <c r="NFJ6" s="72"/>
      <c r="NFM6" s="71"/>
      <c r="NFP6" s="72"/>
      <c r="NFR6" s="73"/>
      <c r="NFS6" s="72"/>
      <c r="NFV6" s="71"/>
      <c r="NFY6" s="72"/>
      <c r="NGA6" s="73"/>
      <c r="NGB6" s="72"/>
      <c r="NGE6" s="71"/>
      <c r="NGH6" s="72"/>
      <c r="NGJ6" s="73"/>
      <c r="NGK6" s="72"/>
      <c r="NGN6" s="71"/>
      <c r="NGQ6" s="72"/>
      <c r="NGS6" s="73"/>
      <c r="NGT6" s="72"/>
      <c r="NGW6" s="71"/>
      <c r="NGZ6" s="72"/>
      <c r="NHB6" s="73"/>
      <c r="NHC6" s="72"/>
      <c r="NHF6" s="71"/>
      <c r="NHI6" s="72"/>
      <c r="NHK6" s="73"/>
      <c r="NHL6" s="72"/>
      <c r="NHO6" s="71"/>
      <c r="NHR6" s="72"/>
      <c r="NHT6" s="73"/>
      <c r="NHU6" s="72"/>
      <c r="NHX6" s="71"/>
      <c r="NIA6" s="72"/>
      <c r="NIC6" s="73"/>
      <c r="NID6" s="72"/>
      <c r="NIG6" s="71"/>
      <c r="NIJ6" s="72"/>
      <c r="NIL6" s="73"/>
      <c r="NIM6" s="72"/>
      <c r="NIP6" s="71"/>
      <c r="NIS6" s="72"/>
      <c r="NIU6" s="73"/>
      <c r="NIV6" s="72"/>
      <c r="NIY6" s="71"/>
      <c r="NJB6" s="72"/>
      <c r="NJD6" s="73"/>
      <c r="NJE6" s="72"/>
      <c r="NJH6" s="71"/>
      <c r="NJK6" s="72"/>
      <c r="NJM6" s="73"/>
      <c r="NJN6" s="72"/>
      <c r="NJQ6" s="71"/>
      <c r="NJT6" s="72"/>
      <c r="NJV6" s="73"/>
      <c r="NJW6" s="72"/>
      <c r="NJZ6" s="71"/>
      <c r="NKC6" s="72"/>
      <c r="NKE6" s="73"/>
      <c r="NKF6" s="72"/>
      <c r="NKI6" s="71"/>
      <c r="NKL6" s="72"/>
      <c r="NKN6" s="73"/>
      <c r="NKO6" s="72"/>
      <c r="NKR6" s="71"/>
      <c r="NKU6" s="72"/>
      <c r="NKW6" s="73"/>
      <c r="NKX6" s="72"/>
      <c r="NLA6" s="71"/>
      <c r="NLD6" s="72"/>
      <c r="NLF6" s="73"/>
      <c r="NLG6" s="72"/>
      <c r="NLJ6" s="71"/>
      <c r="NLM6" s="72"/>
      <c r="NLO6" s="73"/>
      <c r="NLP6" s="72"/>
      <c r="NLS6" s="71"/>
      <c r="NLV6" s="72"/>
      <c r="NLX6" s="73"/>
      <c r="NLY6" s="72"/>
      <c r="NMB6" s="71"/>
      <c r="NME6" s="72"/>
      <c r="NMG6" s="73"/>
      <c r="NMH6" s="72"/>
      <c r="NMK6" s="71"/>
      <c r="NMN6" s="72"/>
      <c r="NMP6" s="73"/>
      <c r="NMQ6" s="72"/>
      <c r="NMT6" s="71"/>
      <c r="NMW6" s="72"/>
      <c r="NMY6" s="73"/>
      <c r="NMZ6" s="72"/>
      <c r="NNC6" s="71"/>
      <c r="NNF6" s="72"/>
      <c r="NNH6" s="73"/>
      <c r="NNI6" s="72"/>
      <c r="NNL6" s="71"/>
      <c r="NNO6" s="72"/>
      <c r="NNQ6" s="73"/>
      <c r="NNR6" s="72"/>
      <c r="NNU6" s="71"/>
      <c r="NNX6" s="72"/>
      <c r="NNZ6" s="73"/>
      <c r="NOA6" s="72"/>
      <c r="NOD6" s="71"/>
      <c r="NOG6" s="72"/>
      <c r="NOI6" s="73"/>
      <c r="NOJ6" s="72"/>
      <c r="NOM6" s="71"/>
      <c r="NOP6" s="72"/>
      <c r="NOR6" s="73"/>
      <c r="NOS6" s="72"/>
      <c r="NOV6" s="71"/>
      <c r="NOY6" s="72"/>
      <c r="NPA6" s="73"/>
      <c r="NPB6" s="72"/>
      <c r="NPE6" s="71"/>
      <c r="NPH6" s="72"/>
      <c r="NPJ6" s="73"/>
      <c r="NPK6" s="72"/>
      <c r="NPN6" s="71"/>
      <c r="NPQ6" s="72"/>
      <c r="NPS6" s="73"/>
      <c r="NPT6" s="72"/>
      <c r="NPW6" s="71"/>
      <c r="NPZ6" s="72"/>
      <c r="NQB6" s="73"/>
      <c r="NQC6" s="72"/>
      <c r="NQF6" s="71"/>
      <c r="NQI6" s="72"/>
      <c r="NQK6" s="73"/>
      <c r="NQL6" s="72"/>
      <c r="NQO6" s="71"/>
      <c r="NQR6" s="72"/>
      <c r="NQT6" s="73"/>
      <c r="NQU6" s="72"/>
      <c r="NQX6" s="71"/>
      <c r="NRA6" s="72"/>
      <c r="NRC6" s="73"/>
      <c r="NRD6" s="72"/>
      <c r="NRG6" s="71"/>
      <c r="NRJ6" s="72"/>
      <c r="NRL6" s="73"/>
      <c r="NRM6" s="72"/>
      <c r="NRP6" s="71"/>
      <c r="NRS6" s="72"/>
      <c r="NRU6" s="73"/>
      <c r="NRV6" s="72"/>
      <c r="NRY6" s="71"/>
      <c r="NSB6" s="72"/>
      <c r="NSD6" s="73"/>
      <c r="NSE6" s="72"/>
      <c r="NSH6" s="71"/>
      <c r="NSK6" s="72"/>
      <c r="NSM6" s="73"/>
      <c r="NSN6" s="72"/>
      <c r="NSQ6" s="71"/>
      <c r="NST6" s="72"/>
      <c r="NSV6" s="73"/>
      <c r="NSW6" s="72"/>
      <c r="NSZ6" s="71"/>
      <c r="NTC6" s="72"/>
      <c r="NTE6" s="73"/>
      <c r="NTF6" s="72"/>
      <c r="NTI6" s="71"/>
      <c r="NTL6" s="72"/>
      <c r="NTN6" s="73"/>
      <c r="NTO6" s="72"/>
      <c r="NTR6" s="71"/>
      <c r="NTU6" s="72"/>
      <c r="NTW6" s="73"/>
      <c r="NTX6" s="72"/>
      <c r="NUA6" s="71"/>
      <c r="NUD6" s="72"/>
      <c r="NUF6" s="73"/>
      <c r="NUG6" s="72"/>
      <c r="NUJ6" s="71"/>
      <c r="NUM6" s="72"/>
      <c r="NUO6" s="73"/>
      <c r="NUP6" s="72"/>
      <c r="NUS6" s="71"/>
      <c r="NUV6" s="72"/>
      <c r="NUX6" s="73"/>
      <c r="NUY6" s="72"/>
      <c r="NVB6" s="71"/>
      <c r="NVE6" s="72"/>
      <c r="NVG6" s="73"/>
      <c r="NVH6" s="72"/>
      <c r="NVK6" s="71"/>
      <c r="NVN6" s="72"/>
      <c r="NVP6" s="73"/>
      <c r="NVQ6" s="72"/>
      <c r="NVT6" s="71"/>
      <c r="NVW6" s="72"/>
      <c r="NVY6" s="73"/>
      <c r="NVZ6" s="72"/>
      <c r="NWC6" s="71"/>
      <c r="NWF6" s="72"/>
      <c r="NWH6" s="73"/>
      <c r="NWI6" s="72"/>
      <c r="NWL6" s="71"/>
      <c r="NWO6" s="72"/>
      <c r="NWQ6" s="73"/>
      <c r="NWR6" s="72"/>
      <c r="NWU6" s="71"/>
      <c r="NWX6" s="72"/>
      <c r="NWZ6" s="73"/>
      <c r="NXA6" s="72"/>
      <c r="NXD6" s="71"/>
      <c r="NXG6" s="72"/>
      <c r="NXI6" s="73"/>
      <c r="NXJ6" s="72"/>
      <c r="NXM6" s="71"/>
      <c r="NXP6" s="72"/>
      <c r="NXR6" s="73"/>
      <c r="NXS6" s="72"/>
      <c r="NXV6" s="71"/>
      <c r="NXY6" s="72"/>
      <c r="NYA6" s="73"/>
      <c r="NYB6" s="72"/>
      <c r="NYE6" s="71"/>
      <c r="NYH6" s="72"/>
      <c r="NYJ6" s="73"/>
      <c r="NYK6" s="72"/>
      <c r="NYN6" s="71"/>
      <c r="NYQ6" s="72"/>
      <c r="NYS6" s="73"/>
      <c r="NYT6" s="72"/>
      <c r="NYW6" s="71"/>
      <c r="NYZ6" s="72"/>
      <c r="NZB6" s="73"/>
      <c r="NZC6" s="72"/>
      <c r="NZF6" s="71"/>
      <c r="NZI6" s="72"/>
      <c r="NZK6" s="73"/>
      <c r="NZL6" s="72"/>
      <c r="NZO6" s="71"/>
      <c r="NZR6" s="72"/>
      <c r="NZT6" s="73"/>
      <c r="NZU6" s="72"/>
      <c r="NZX6" s="71"/>
      <c r="OAA6" s="72"/>
      <c r="OAC6" s="73"/>
      <c r="OAD6" s="72"/>
      <c r="OAG6" s="71"/>
      <c r="OAJ6" s="72"/>
      <c r="OAL6" s="73"/>
      <c r="OAM6" s="72"/>
      <c r="OAP6" s="71"/>
      <c r="OAS6" s="72"/>
      <c r="OAU6" s="73"/>
      <c r="OAV6" s="72"/>
      <c r="OAY6" s="71"/>
      <c r="OBB6" s="72"/>
      <c r="OBD6" s="73"/>
      <c r="OBE6" s="72"/>
      <c r="OBH6" s="71"/>
      <c r="OBK6" s="72"/>
      <c r="OBM6" s="73"/>
      <c r="OBN6" s="72"/>
      <c r="OBQ6" s="71"/>
      <c r="OBT6" s="72"/>
      <c r="OBV6" s="73"/>
      <c r="OBW6" s="72"/>
      <c r="OBZ6" s="71"/>
      <c r="OCC6" s="72"/>
      <c r="OCE6" s="73"/>
      <c r="OCF6" s="72"/>
      <c r="OCI6" s="71"/>
      <c r="OCL6" s="72"/>
      <c r="OCN6" s="73"/>
      <c r="OCO6" s="72"/>
      <c r="OCR6" s="71"/>
      <c r="OCU6" s="72"/>
      <c r="OCW6" s="73"/>
      <c r="OCX6" s="72"/>
      <c r="ODA6" s="71"/>
      <c r="ODD6" s="72"/>
      <c r="ODF6" s="73"/>
      <c r="ODG6" s="72"/>
      <c r="ODJ6" s="71"/>
      <c r="ODM6" s="72"/>
      <c r="ODO6" s="73"/>
      <c r="ODP6" s="72"/>
      <c r="ODS6" s="71"/>
      <c r="ODV6" s="72"/>
      <c r="ODX6" s="73"/>
      <c r="ODY6" s="72"/>
      <c r="OEB6" s="71"/>
      <c r="OEE6" s="72"/>
      <c r="OEG6" s="73"/>
      <c r="OEH6" s="72"/>
      <c r="OEK6" s="71"/>
      <c r="OEN6" s="72"/>
      <c r="OEP6" s="73"/>
      <c r="OEQ6" s="72"/>
      <c r="OET6" s="71"/>
      <c r="OEW6" s="72"/>
      <c r="OEY6" s="73"/>
      <c r="OEZ6" s="72"/>
      <c r="OFC6" s="71"/>
      <c r="OFF6" s="72"/>
      <c r="OFH6" s="73"/>
      <c r="OFI6" s="72"/>
      <c r="OFL6" s="71"/>
      <c r="OFO6" s="72"/>
      <c r="OFQ6" s="73"/>
      <c r="OFR6" s="72"/>
      <c r="OFU6" s="71"/>
      <c r="OFX6" s="72"/>
      <c r="OFZ6" s="73"/>
      <c r="OGA6" s="72"/>
      <c r="OGD6" s="71"/>
      <c r="OGG6" s="72"/>
      <c r="OGI6" s="73"/>
      <c r="OGJ6" s="72"/>
      <c r="OGM6" s="71"/>
      <c r="OGP6" s="72"/>
      <c r="OGR6" s="73"/>
      <c r="OGS6" s="72"/>
      <c r="OGV6" s="71"/>
      <c r="OGY6" s="72"/>
      <c r="OHA6" s="73"/>
      <c r="OHB6" s="72"/>
      <c r="OHE6" s="71"/>
      <c r="OHH6" s="72"/>
      <c r="OHJ6" s="73"/>
      <c r="OHK6" s="72"/>
      <c r="OHN6" s="71"/>
      <c r="OHQ6" s="72"/>
      <c r="OHS6" s="73"/>
      <c r="OHT6" s="72"/>
      <c r="OHW6" s="71"/>
      <c r="OHZ6" s="72"/>
      <c r="OIB6" s="73"/>
      <c r="OIC6" s="72"/>
      <c r="OIF6" s="71"/>
      <c r="OII6" s="72"/>
      <c r="OIK6" s="73"/>
      <c r="OIL6" s="72"/>
      <c r="OIO6" s="71"/>
      <c r="OIR6" s="72"/>
      <c r="OIT6" s="73"/>
      <c r="OIU6" s="72"/>
      <c r="OIX6" s="71"/>
      <c r="OJA6" s="72"/>
      <c r="OJC6" s="73"/>
      <c r="OJD6" s="72"/>
      <c r="OJG6" s="71"/>
      <c r="OJJ6" s="72"/>
      <c r="OJL6" s="73"/>
      <c r="OJM6" s="72"/>
      <c r="OJP6" s="71"/>
      <c r="OJS6" s="72"/>
      <c r="OJU6" s="73"/>
      <c r="OJV6" s="72"/>
      <c r="OJY6" s="71"/>
      <c r="OKB6" s="72"/>
      <c r="OKD6" s="73"/>
      <c r="OKE6" s="72"/>
      <c r="OKH6" s="71"/>
      <c r="OKK6" s="72"/>
      <c r="OKM6" s="73"/>
      <c r="OKN6" s="72"/>
      <c r="OKQ6" s="71"/>
      <c r="OKT6" s="72"/>
      <c r="OKV6" s="73"/>
      <c r="OKW6" s="72"/>
      <c r="OKZ6" s="71"/>
      <c r="OLC6" s="72"/>
      <c r="OLE6" s="73"/>
      <c r="OLF6" s="72"/>
      <c r="OLI6" s="71"/>
      <c r="OLL6" s="72"/>
      <c r="OLN6" s="73"/>
      <c r="OLO6" s="72"/>
      <c r="OLR6" s="71"/>
      <c r="OLU6" s="72"/>
      <c r="OLW6" s="73"/>
      <c r="OLX6" s="72"/>
      <c r="OMA6" s="71"/>
      <c r="OMD6" s="72"/>
      <c r="OMF6" s="73"/>
      <c r="OMG6" s="72"/>
      <c r="OMJ6" s="71"/>
      <c r="OMM6" s="72"/>
      <c r="OMO6" s="73"/>
      <c r="OMP6" s="72"/>
      <c r="OMS6" s="71"/>
      <c r="OMV6" s="72"/>
      <c r="OMX6" s="73"/>
      <c r="OMY6" s="72"/>
      <c r="ONB6" s="71"/>
      <c r="ONE6" s="72"/>
      <c r="ONG6" s="73"/>
      <c r="ONH6" s="72"/>
      <c r="ONK6" s="71"/>
      <c r="ONN6" s="72"/>
      <c r="ONP6" s="73"/>
      <c r="ONQ6" s="72"/>
      <c r="ONT6" s="71"/>
      <c r="ONW6" s="72"/>
      <c r="ONY6" s="73"/>
      <c r="ONZ6" s="72"/>
      <c r="OOC6" s="71"/>
      <c r="OOF6" s="72"/>
      <c r="OOH6" s="73"/>
      <c r="OOI6" s="72"/>
      <c r="OOL6" s="71"/>
      <c r="OOO6" s="72"/>
      <c r="OOQ6" s="73"/>
      <c r="OOR6" s="72"/>
      <c r="OOU6" s="71"/>
      <c r="OOX6" s="72"/>
      <c r="OOZ6" s="73"/>
      <c r="OPA6" s="72"/>
      <c r="OPD6" s="71"/>
      <c r="OPG6" s="72"/>
      <c r="OPI6" s="73"/>
      <c r="OPJ6" s="72"/>
      <c r="OPM6" s="71"/>
      <c r="OPP6" s="72"/>
      <c r="OPR6" s="73"/>
      <c r="OPS6" s="72"/>
      <c r="OPV6" s="71"/>
      <c r="OPY6" s="72"/>
      <c r="OQA6" s="73"/>
      <c r="OQB6" s="72"/>
      <c r="OQE6" s="71"/>
      <c r="OQH6" s="72"/>
      <c r="OQJ6" s="73"/>
      <c r="OQK6" s="72"/>
      <c r="OQN6" s="71"/>
      <c r="OQQ6" s="72"/>
      <c r="OQS6" s="73"/>
      <c r="OQT6" s="72"/>
      <c r="OQW6" s="71"/>
      <c r="OQZ6" s="72"/>
      <c r="ORB6" s="73"/>
      <c r="ORC6" s="72"/>
      <c r="ORF6" s="71"/>
      <c r="ORI6" s="72"/>
      <c r="ORK6" s="73"/>
      <c r="ORL6" s="72"/>
      <c r="ORO6" s="71"/>
      <c r="ORR6" s="72"/>
      <c r="ORT6" s="73"/>
      <c r="ORU6" s="72"/>
      <c r="ORX6" s="71"/>
      <c r="OSA6" s="72"/>
      <c r="OSC6" s="73"/>
      <c r="OSD6" s="72"/>
      <c r="OSG6" s="71"/>
      <c r="OSJ6" s="72"/>
      <c r="OSL6" s="73"/>
      <c r="OSM6" s="72"/>
      <c r="OSP6" s="71"/>
      <c r="OSS6" s="72"/>
      <c r="OSU6" s="73"/>
      <c r="OSV6" s="72"/>
      <c r="OSY6" s="71"/>
      <c r="OTB6" s="72"/>
      <c r="OTD6" s="73"/>
      <c r="OTE6" s="72"/>
      <c r="OTH6" s="71"/>
      <c r="OTK6" s="72"/>
      <c r="OTM6" s="73"/>
      <c r="OTN6" s="72"/>
      <c r="OTQ6" s="71"/>
      <c r="OTT6" s="72"/>
      <c r="OTV6" s="73"/>
      <c r="OTW6" s="72"/>
      <c r="OTZ6" s="71"/>
      <c r="OUC6" s="72"/>
      <c r="OUE6" s="73"/>
      <c r="OUF6" s="72"/>
      <c r="OUI6" s="71"/>
      <c r="OUL6" s="72"/>
      <c r="OUN6" s="73"/>
      <c r="OUO6" s="72"/>
      <c r="OUR6" s="71"/>
      <c r="OUU6" s="72"/>
      <c r="OUW6" s="73"/>
      <c r="OUX6" s="72"/>
      <c r="OVA6" s="71"/>
      <c r="OVD6" s="72"/>
      <c r="OVF6" s="73"/>
      <c r="OVG6" s="72"/>
      <c r="OVJ6" s="71"/>
      <c r="OVM6" s="72"/>
      <c r="OVO6" s="73"/>
      <c r="OVP6" s="72"/>
      <c r="OVS6" s="71"/>
      <c r="OVV6" s="72"/>
      <c r="OVX6" s="73"/>
      <c r="OVY6" s="72"/>
      <c r="OWB6" s="71"/>
      <c r="OWE6" s="72"/>
      <c r="OWG6" s="73"/>
      <c r="OWH6" s="72"/>
      <c r="OWK6" s="71"/>
      <c r="OWN6" s="72"/>
      <c r="OWP6" s="73"/>
      <c r="OWQ6" s="72"/>
      <c r="OWT6" s="71"/>
      <c r="OWW6" s="72"/>
      <c r="OWY6" s="73"/>
      <c r="OWZ6" s="72"/>
      <c r="OXC6" s="71"/>
      <c r="OXF6" s="72"/>
      <c r="OXH6" s="73"/>
      <c r="OXI6" s="72"/>
      <c r="OXL6" s="71"/>
      <c r="OXO6" s="72"/>
      <c r="OXQ6" s="73"/>
      <c r="OXR6" s="72"/>
      <c r="OXU6" s="71"/>
      <c r="OXX6" s="72"/>
      <c r="OXZ6" s="73"/>
      <c r="OYA6" s="72"/>
      <c r="OYD6" s="71"/>
      <c r="OYG6" s="72"/>
      <c r="OYI6" s="73"/>
      <c r="OYJ6" s="72"/>
      <c r="OYM6" s="71"/>
      <c r="OYP6" s="72"/>
      <c r="OYR6" s="73"/>
      <c r="OYS6" s="72"/>
      <c r="OYV6" s="71"/>
      <c r="OYY6" s="72"/>
      <c r="OZA6" s="73"/>
      <c r="OZB6" s="72"/>
      <c r="OZE6" s="71"/>
      <c r="OZH6" s="72"/>
      <c r="OZJ6" s="73"/>
      <c r="OZK6" s="72"/>
      <c r="OZN6" s="71"/>
      <c r="OZQ6" s="72"/>
      <c r="OZS6" s="73"/>
      <c r="OZT6" s="72"/>
      <c r="OZW6" s="71"/>
      <c r="OZZ6" s="72"/>
      <c r="PAB6" s="73"/>
      <c r="PAC6" s="72"/>
      <c r="PAF6" s="71"/>
      <c r="PAI6" s="72"/>
      <c r="PAK6" s="73"/>
      <c r="PAL6" s="72"/>
      <c r="PAO6" s="71"/>
      <c r="PAR6" s="72"/>
      <c r="PAT6" s="73"/>
      <c r="PAU6" s="72"/>
      <c r="PAX6" s="71"/>
      <c r="PBA6" s="72"/>
      <c r="PBC6" s="73"/>
      <c r="PBD6" s="72"/>
      <c r="PBG6" s="71"/>
      <c r="PBJ6" s="72"/>
      <c r="PBL6" s="73"/>
      <c r="PBM6" s="72"/>
      <c r="PBP6" s="71"/>
      <c r="PBS6" s="72"/>
      <c r="PBU6" s="73"/>
      <c r="PBV6" s="72"/>
      <c r="PBY6" s="71"/>
      <c r="PCB6" s="72"/>
      <c r="PCD6" s="73"/>
      <c r="PCE6" s="72"/>
      <c r="PCH6" s="71"/>
      <c r="PCK6" s="72"/>
      <c r="PCM6" s="73"/>
      <c r="PCN6" s="72"/>
      <c r="PCQ6" s="71"/>
      <c r="PCT6" s="72"/>
      <c r="PCV6" s="73"/>
      <c r="PCW6" s="72"/>
      <c r="PCZ6" s="71"/>
      <c r="PDC6" s="72"/>
      <c r="PDE6" s="73"/>
      <c r="PDF6" s="72"/>
      <c r="PDI6" s="71"/>
      <c r="PDL6" s="72"/>
      <c r="PDN6" s="73"/>
      <c r="PDO6" s="72"/>
      <c r="PDR6" s="71"/>
      <c r="PDU6" s="72"/>
      <c r="PDW6" s="73"/>
      <c r="PDX6" s="72"/>
      <c r="PEA6" s="71"/>
      <c r="PED6" s="72"/>
      <c r="PEF6" s="73"/>
      <c r="PEG6" s="72"/>
      <c r="PEJ6" s="71"/>
      <c r="PEM6" s="72"/>
      <c r="PEO6" s="73"/>
      <c r="PEP6" s="72"/>
      <c r="PES6" s="71"/>
      <c r="PEV6" s="72"/>
      <c r="PEX6" s="73"/>
      <c r="PEY6" s="72"/>
      <c r="PFB6" s="71"/>
      <c r="PFE6" s="72"/>
      <c r="PFG6" s="73"/>
      <c r="PFH6" s="72"/>
      <c r="PFK6" s="71"/>
      <c r="PFN6" s="72"/>
      <c r="PFP6" s="73"/>
      <c r="PFQ6" s="72"/>
      <c r="PFT6" s="71"/>
      <c r="PFW6" s="72"/>
      <c r="PFY6" s="73"/>
      <c r="PFZ6" s="72"/>
      <c r="PGC6" s="71"/>
      <c r="PGF6" s="72"/>
      <c r="PGH6" s="73"/>
      <c r="PGI6" s="72"/>
      <c r="PGL6" s="71"/>
      <c r="PGO6" s="72"/>
      <c r="PGQ6" s="73"/>
      <c r="PGR6" s="72"/>
      <c r="PGU6" s="71"/>
      <c r="PGX6" s="72"/>
      <c r="PGZ6" s="73"/>
      <c r="PHA6" s="72"/>
      <c r="PHD6" s="71"/>
      <c r="PHG6" s="72"/>
      <c r="PHI6" s="73"/>
      <c r="PHJ6" s="72"/>
      <c r="PHM6" s="71"/>
      <c r="PHP6" s="72"/>
      <c r="PHR6" s="73"/>
      <c r="PHS6" s="72"/>
      <c r="PHV6" s="71"/>
      <c r="PHY6" s="72"/>
      <c r="PIA6" s="73"/>
      <c r="PIB6" s="72"/>
      <c r="PIE6" s="71"/>
      <c r="PIH6" s="72"/>
      <c r="PIJ6" s="73"/>
      <c r="PIK6" s="72"/>
      <c r="PIN6" s="71"/>
      <c r="PIQ6" s="72"/>
      <c r="PIS6" s="73"/>
      <c r="PIT6" s="72"/>
      <c r="PIW6" s="71"/>
      <c r="PIZ6" s="72"/>
      <c r="PJB6" s="73"/>
      <c r="PJC6" s="72"/>
      <c r="PJF6" s="71"/>
      <c r="PJI6" s="72"/>
      <c r="PJK6" s="73"/>
      <c r="PJL6" s="72"/>
      <c r="PJO6" s="71"/>
      <c r="PJR6" s="72"/>
      <c r="PJT6" s="73"/>
      <c r="PJU6" s="72"/>
      <c r="PJX6" s="71"/>
      <c r="PKA6" s="72"/>
      <c r="PKC6" s="73"/>
      <c r="PKD6" s="72"/>
      <c r="PKG6" s="71"/>
      <c r="PKJ6" s="72"/>
      <c r="PKL6" s="73"/>
      <c r="PKM6" s="72"/>
      <c r="PKP6" s="71"/>
      <c r="PKS6" s="72"/>
      <c r="PKU6" s="73"/>
      <c r="PKV6" s="72"/>
      <c r="PKY6" s="71"/>
      <c r="PLB6" s="72"/>
      <c r="PLD6" s="73"/>
      <c r="PLE6" s="72"/>
      <c r="PLH6" s="71"/>
      <c r="PLK6" s="72"/>
      <c r="PLM6" s="73"/>
      <c r="PLN6" s="72"/>
      <c r="PLQ6" s="71"/>
      <c r="PLT6" s="72"/>
      <c r="PLV6" s="73"/>
      <c r="PLW6" s="72"/>
      <c r="PLZ6" s="71"/>
      <c r="PMC6" s="72"/>
      <c r="PME6" s="73"/>
      <c r="PMF6" s="72"/>
      <c r="PMI6" s="71"/>
      <c r="PML6" s="72"/>
      <c r="PMN6" s="73"/>
      <c r="PMO6" s="72"/>
      <c r="PMR6" s="71"/>
      <c r="PMU6" s="72"/>
      <c r="PMW6" s="73"/>
      <c r="PMX6" s="72"/>
      <c r="PNA6" s="71"/>
      <c r="PND6" s="72"/>
      <c r="PNF6" s="73"/>
      <c r="PNG6" s="72"/>
      <c r="PNJ6" s="71"/>
      <c r="PNM6" s="72"/>
      <c r="PNO6" s="73"/>
      <c r="PNP6" s="72"/>
      <c r="PNS6" s="71"/>
      <c r="PNV6" s="72"/>
      <c r="PNX6" s="73"/>
      <c r="PNY6" s="72"/>
      <c r="POB6" s="71"/>
      <c r="POE6" s="72"/>
      <c r="POG6" s="73"/>
      <c r="POH6" s="72"/>
      <c r="POK6" s="71"/>
      <c r="PON6" s="72"/>
      <c r="POP6" s="73"/>
      <c r="POQ6" s="72"/>
      <c r="POT6" s="71"/>
      <c r="POW6" s="72"/>
      <c r="POY6" s="73"/>
      <c r="POZ6" s="72"/>
      <c r="PPC6" s="71"/>
      <c r="PPF6" s="72"/>
      <c r="PPH6" s="73"/>
      <c r="PPI6" s="72"/>
      <c r="PPL6" s="71"/>
      <c r="PPO6" s="72"/>
      <c r="PPQ6" s="73"/>
      <c r="PPR6" s="72"/>
      <c r="PPU6" s="71"/>
      <c r="PPX6" s="72"/>
      <c r="PPZ6" s="73"/>
      <c r="PQA6" s="72"/>
      <c r="PQD6" s="71"/>
      <c r="PQG6" s="72"/>
      <c r="PQI6" s="73"/>
      <c r="PQJ6" s="72"/>
      <c r="PQM6" s="71"/>
      <c r="PQP6" s="72"/>
      <c r="PQR6" s="73"/>
      <c r="PQS6" s="72"/>
      <c r="PQV6" s="71"/>
      <c r="PQY6" s="72"/>
      <c r="PRA6" s="73"/>
      <c r="PRB6" s="72"/>
      <c r="PRE6" s="71"/>
      <c r="PRH6" s="72"/>
      <c r="PRJ6" s="73"/>
      <c r="PRK6" s="72"/>
      <c r="PRN6" s="71"/>
      <c r="PRQ6" s="72"/>
      <c r="PRS6" s="73"/>
      <c r="PRT6" s="72"/>
      <c r="PRW6" s="71"/>
      <c r="PRZ6" s="72"/>
      <c r="PSB6" s="73"/>
      <c r="PSC6" s="72"/>
      <c r="PSF6" s="71"/>
      <c r="PSI6" s="72"/>
      <c r="PSK6" s="73"/>
      <c r="PSL6" s="72"/>
      <c r="PSO6" s="71"/>
      <c r="PSR6" s="72"/>
      <c r="PST6" s="73"/>
      <c r="PSU6" s="72"/>
      <c r="PSX6" s="71"/>
      <c r="PTA6" s="72"/>
      <c r="PTC6" s="73"/>
      <c r="PTD6" s="72"/>
      <c r="PTG6" s="71"/>
      <c r="PTJ6" s="72"/>
      <c r="PTL6" s="73"/>
      <c r="PTM6" s="72"/>
      <c r="PTP6" s="71"/>
      <c r="PTS6" s="72"/>
      <c r="PTU6" s="73"/>
      <c r="PTV6" s="72"/>
      <c r="PTY6" s="71"/>
      <c r="PUB6" s="72"/>
      <c r="PUD6" s="73"/>
      <c r="PUE6" s="72"/>
      <c r="PUH6" s="71"/>
      <c r="PUK6" s="72"/>
      <c r="PUM6" s="73"/>
      <c r="PUN6" s="72"/>
      <c r="PUQ6" s="71"/>
      <c r="PUT6" s="72"/>
      <c r="PUV6" s="73"/>
      <c r="PUW6" s="72"/>
      <c r="PUZ6" s="71"/>
      <c r="PVC6" s="72"/>
      <c r="PVE6" s="73"/>
      <c r="PVF6" s="72"/>
      <c r="PVI6" s="71"/>
      <c r="PVL6" s="72"/>
      <c r="PVN6" s="73"/>
      <c r="PVO6" s="72"/>
      <c r="PVR6" s="71"/>
      <c r="PVU6" s="72"/>
      <c r="PVW6" s="73"/>
      <c r="PVX6" s="72"/>
      <c r="PWA6" s="71"/>
      <c r="PWD6" s="72"/>
      <c r="PWF6" s="73"/>
      <c r="PWG6" s="72"/>
      <c r="PWJ6" s="71"/>
      <c r="PWM6" s="72"/>
      <c r="PWO6" s="73"/>
      <c r="PWP6" s="72"/>
      <c r="PWS6" s="71"/>
      <c r="PWV6" s="72"/>
      <c r="PWX6" s="73"/>
      <c r="PWY6" s="72"/>
      <c r="PXB6" s="71"/>
      <c r="PXE6" s="72"/>
      <c r="PXG6" s="73"/>
      <c r="PXH6" s="72"/>
      <c r="PXK6" s="71"/>
      <c r="PXN6" s="72"/>
      <c r="PXP6" s="73"/>
      <c r="PXQ6" s="72"/>
      <c r="PXT6" s="71"/>
      <c r="PXW6" s="72"/>
      <c r="PXY6" s="73"/>
      <c r="PXZ6" s="72"/>
      <c r="PYC6" s="71"/>
      <c r="PYF6" s="72"/>
      <c r="PYH6" s="73"/>
      <c r="PYI6" s="72"/>
      <c r="PYL6" s="71"/>
      <c r="PYO6" s="72"/>
      <c r="PYQ6" s="73"/>
      <c r="PYR6" s="72"/>
      <c r="PYU6" s="71"/>
      <c r="PYX6" s="72"/>
      <c r="PYZ6" s="73"/>
      <c r="PZA6" s="72"/>
      <c r="PZD6" s="71"/>
      <c r="PZG6" s="72"/>
      <c r="PZI6" s="73"/>
      <c r="PZJ6" s="72"/>
      <c r="PZM6" s="71"/>
      <c r="PZP6" s="72"/>
      <c r="PZR6" s="73"/>
      <c r="PZS6" s="72"/>
      <c r="PZV6" s="71"/>
      <c r="PZY6" s="72"/>
      <c r="QAA6" s="73"/>
      <c r="QAB6" s="72"/>
      <c r="QAE6" s="71"/>
      <c r="QAH6" s="72"/>
      <c r="QAJ6" s="73"/>
      <c r="QAK6" s="72"/>
      <c r="QAN6" s="71"/>
      <c r="QAQ6" s="72"/>
      <c r="QAS6" s="73"/>
      <c r="QAT6" s="72"/>
      <c r="QAW6" s="71"/>
      <c r="QAZ6" s="72"/>
      <c r="QBB6" s="73"/>
      <c r="QBC6" s="72"/>
      <c r="QBF6" s="71"/>
      <c r="QBI6" s="72"/>
      <c r="QBK6" s="73"/>
      <c r="QBL6" s="72"/>
      <c r="QBO6" s="71"/>
      <c r="QBR6" s="72"/>
      <c r="QBT6" s="73"/>
      <c r="QBU6" s="72"/>
      <c r="QBX6" s="71"/>
      <c r="QCA6" s="72"/>
      <c r="QCC6" s="73"/>
      <c r="QCD6" s="72"/>
      <c r="QCG6" s="71"/>
      <c r="QCJ6" s="72"/>
      <c r="QCL6" s="73"/>
      <c r="QCM6" s="72"/>
      <c r="QCP6" s="71"/>
      <c r="QCS6" s="72"/>
      <c r="QCU6" s="73"/>
      <c r="QCV6" s="72"/>
      <c r="QCY6" s="71"/>
      <c r="QDB6" s="72"/>
      <c r="QDD6" s="73"/>
      <c r="QDE6" s="72"/>
      <c r="QDH6" s="71"/>
      <c r="QDK6" s="72"/>
      <c r="QDM6" s="73"/>
      <c r="QDN6" s="72"/>
      <c r="QDQ6" s="71"/>
      <c r="QDT6" s="72"/>
      <c r="QDV6" s="73"/>
      <c r="QDW6" s="72"/>
      <c r="QDZ6" s="71"/>
      <c r="QEC6" s="72"/>
      <c r="QEE6" s="73"/>
      <c r="QEF6" s="72"/>
      <c r="QEI6" s="71"/>
      <c r="QEL6" s="72"/>
      <c r="QEN6" s="73"/>
      <c r="QEO6" s="72"/>
      <c r="QER6" s="71"/>
      <c r="QEU6" s="72"/>
      <c r="QEW6" s="73"/>
      <c r="QEX6" s="72"/>
      <c r="QFA6" s="71"/>
      <c r="QFD6" s="72"/>
      <c r="QFF6" s="73"/>
      <c r="QFG6" s="72"/>
      <c r="QFJ6" s="71"/>
      <c r="QFM6" s="72"/>
      <c r="QFO6" s="73"/>
      <c r="QFP6" s="72"/>
      <c r="QFS6" s="71"/>
      <c r="QFV6" s="72"/>
      <c r="QFX6" s="73"/>
      <c r="QFY6" s="72"/>
      <c r="QGB6" s="71"/>
      <c r="QGE6" s="72"/>
      <c r="QGG6" s="73"/>
      <c r="QGH6" s="72"/>
      <c r="QGK6" s="71"/>
      <c r="QGN6" s="72"/>
      <c r="QGP6" s="73"/>
      <c r="QGQ6" s="72"/>
      <c r="QGT6" s="71"/>
      <c r="QGW6" s="72"/>
      <c r="QGY6" s="73"/>
      <c r="QGZ6" s="72"/>
      <c r="QHC6" s="71"/>
      <c r="QHF6" s="72"/>
      <c r="QHH6" s="73"/>
      <c r="QHI6" s="72"/>
      <c r="QHL6" s="71"/>
      <c r="QHO6" s="72"/>
      <c r="QHQ6" s="73"/>
      <c r="QHR6" s="72"/>
      <c r="QHU6" s="71"/>
      <c r="QHX6" s="72"/>
      <c r="QHZ6" s="73"/>
      <c r="QIA6" s="72"/>
      <c r="QID6" s="71"/>
      <c r="QIG6" s="72"/>
      <c r="QII6" s="73"/>
      <c r="QIJ6" s="72"/>
      <c r="QIM6" s="71"/>
      <c r="QIP6" s="72"/>
      <c r="QIR6" s="73"/>
      <c r="QIS6" s="72"/>
      <c r="QIV6" s="71"/>
      <c r="QIY6" s="72"/>
      <c r="QJA6" s="73"/>
      <c r="QJB6" s="72"/>
      <c r="QJE6" s="71"/>
      <c r="QJH6" s="72"/>
      <c r="QJJ6" s="73"/>
      <c r="QJK6" s="72"/>
      <c r="QJN6" s="71"/>
      <c r="QJQ6" s="72"/>
      <c r="QJS6" s="73"/>
      <c r="QJT6" s="72"/>
      <c r="QJW6" s="71"/>
      <c r="QJZ6" s="72"/>
      <c r="QKB6" s="73"/>
      <c r="QKC6" s="72"/>
      <c r="QKF6" s="71"/>
      <c r="QKI6" s="72"/>
      <c r="QKK6" s="73"/>
      <c r="QKL6" s="72"/>
      <c r="QKO6" s="71"/>
      <c r="QKR6" s="72"/>
      <c r="QKT6" s="73"/>
      <c r="QKU6" s="72"/>
      <c r="QKX6" s="71"/>
      <c r="QLA6" s="72"/>
      <c r="QLC6" s="73"/>
      <c r="QLD6" s="72"/>
      <c r="QLG6" s="71"/>
      <c r="QLJ6" s="72"/>
      <c r="QLL6" s="73"/>
      <c r="QLM6" s="72"/>
      <c r="QLP6" s="71"/>
      <c r="QLS6" s="72"/>
      <c r="QLU6" s="73"/>
      <c r="QLV6" s="72"/>
      <c r="QLY6" s="71"/>
      <c r="QMB6" s="72"/>
      <c r="QMD6" s="73"/>
      <c r="QME6" s="72"/>
      <c r="QMH6" s="71"/>
      <c r="QMK6" s="72"/>
      <c r="QMM6" s="73"/>
      <c r="QMN6" s="72"/>
      <c r="QMQ6" s="71"/>
      <c r="QMT6" s="72"/>
      <c r="QMV6" s="73"/>
      <c r="QMW6" s="72"/>
      <c r="QMZ6" s="71"/>
      <c r="QNC6" s="72"/>
      <c r="QNE6" s="73"/>
      <c r="QNF6" s="72"/>
      <c r="QNI6" s="71"/>
      <c r="QNL6" s="72"/>
      <c r="QNN6" s="73"/>
      <c r="QNO6" s="72"/>
      <c r="QNR6" s="71"/>
      <c r="QNU6" s="72"/>
      <c r="QNW6" s="73"/>
      <c r="QNX6" s="72"/>
      <c r="QOA6" s="71"/>
      <c r="QOD6" s="72"/>
      <c r="QOF6" s="73"/>
      <c r="QOG6" s="72"/>
      <c r="QOJ6" s="71"/>
      <c r="QOM6" s="72"/>
      <c r="QOO6" s="73"/>
      <c r="QOP6" s="72"/>
      <c r="QOS6" s="71"/>
      <c r="QOV6" s="72"/>
      <c r="QOX6" s="73"/>
      <c r="QOY6" s="72"/>
      <c r="QPB6" s="71"/>
      <c r="QPE6" s="72"/>
      <c r="QPG6" s="73"/>
      <c r="QPH6" s="72"/>
      <c r="QPK6" s="71"/>
      <c r="QPN6" s="72"/>
      <c r="QPP6" s="73"/>
      <c r="QPQ6" s="72"/>
      <c r="QPT6" s="71"/>
      <c r="QPW6" s="72"/>
      <c r="QPY6" s="73"/>
      <c r="QPZ6" s="72"/>
      <c r="QQC6" s="71"/>
      <c r="QQF6" s="72"/>
      <c r="QQH6" s="73"/>
      <c r="QQI6" s="72"/>
      <c r="QQL6" s="71"/>
      <c r="QQO6" s="72"/>
      <c r="QQQ6" s="73"/>
      <c r="QQR6" s="72"/>
      <c r="QQU6" s="71"/>
      <c r="QQX6" s="72"/>
      <c r="QQZ6" s="73"/>
      <c r="QRA6" s="72"/>
      <c r="QRD6" s="71"/>
      <c r="QRG6" s="72"/>
      <c r="QRI6" s="73"/>
      <c r="QRJ6" s="72"/>
      <c r="QRM6" s="71"/>
      <c r="QRP6" s="72"/>
      <c r="QRR6" s="73"/>
      <c r="QRS6" s="72"/>
      <c r="QRV6" s="71"/>
      <c r="QRY6" s="72"/>
      <c r="QSA6" s="73"/>
      <c r="QSB6" s="72"/>
      <c r="QSE6" s="71"/>
      <c r="QSH6" s="72"/>
      <c r="QSJ6" s="73"/>
      <c r="QSK6" s="72"/>
      <c r="QSN6" s="71"/>
      <c r="QSQ6" s="72"/>
      <c r="QSS6" s="73"/>
      <c r="QST6" s="72"/>
      <c r="QSW6" s="71"/>
      <c r="QSZ6" s="72"/>
      <c r="QTB6" s="73"/>
      <c r="QTC6" s="72"/>
      <c r="QTF6" s="71"/>
      <c r="QTI6" s="72"/>
      <c r="QTK6" s="73"/>
      <c r="QTL6" s="72"/>
      <c r="QTO6" s="71"/>
      <c r="QTR6" s="72"/>
      <c r="QTT6" s="73"/>
      <c r="QTU6" s="72"/>
      <c r="QTX6" s="71"/>
      <c r="QUA6" s="72"/>
      <c r="QUC6" s="73"/>
      <c r="QUD6" s="72"/>
      <c r="QUG6" s="71"/>
      <c r="QUJ6" s="72"/>
      <c r="QUL6" s="73"/>
      <c r="QUM6" s="72"/>
      <c r="QUP6" s="71"/>
      <c r="QUS6" s="72"/>
      <c r="QUU6" s="73"/>
      <c r="QUV6" s="72"/>
      <c r="QUY6" s="71"/>
      <c r="QVB6" s="72"/>
      <c r="QVD6" s="73"/>
      <c r="QVE6" s="72"/>
      <c r="QVH6" s="71"/>
      <c r="QVK6" s="72"/>
      <c r="QVM6" s="73"/>
      <c r="QVN6" s="72"/>
      <c r="QVQ6" s="71"/>
      <c r="QVT6" s="72"/>
      <c r="QVV6" s="73"/>
      <c r="QVW6" s="72"/>
      <c r="QVZ6" s="71"/>
      <c r="QWC6" s="72"/>
      <c r="QWE6" s="73"/>
      <c r="QWF6" s="72"/>
      <c r="QWI6" s="71"/>
      <c r="QWL6" s="72"/>
      <c r="QWN6" s="73"/>
      <c r="QWO6" s="72"/>
      <c r="QWR6" s="71"/>
      <c r="QWU6" s="72"/>
      <c r="QWW6" s="73"/>
      <c r="QWX6" s="72"/>
      <c r="QXA6" s="71"/>
      <c r="QXD6" s="72"/>
      <c r="QXF6" s="73"/>
      <c r="QXG6" s="72"/>
      <c r="QXJ6" s="71"/>
      <c r="QXM6" s="72"/>
      <c r="QXO6" s="73"/>
      <c r="QXP6" s="72"/>
      <c r="QXS6" s="71"/>
      <c r="QXV6" s="72"/>
      <c r="QXX6" s="73"/>
      <c r="QXY6" s="72"/>
      <c r="QYB6" s="71"/>
      <c r="QYE6" s="72"/>
      <c r="QYG6" s="73"/>
      <c r="QYH6" s="72"/>
      <c r="QYK6" s="71"/>
      <c r="QYN6" s="72"/>
      <c r="QYP6" s="73"/>
      <c r="QYQ6" s="72"/>
      <c r="QYT6" s="71"/>
      <c r="QYW6" s="72"/>
      <c r="QYY6" s="73"/>
      <c r="QYZ6" s="72"/>
      <c r="QZC6" s="71"/>
      <c r="QZF6" s="72"/>
      <c r="QZH6" s="73"/>
      <c r="QZI6" s="72"/>
      <c r="QZL6" s="71"/>
      <c r="QZO6" s="72"/>
      <c r="QZQ6" s="73"/>
      <c r="QZR6" s="72"/>
      <c r="QZU6" s="71"/>
      <c r="QZX6" s="72"/>
      <c r="QZZ6" s="73"/>
      <c r="RAA6" s="72"/>
      <c r="RAD6" s="71"/>
      <c r="RAG6" s="72"/>
      <c r="RAI6" s="73"/>
      <c r="RAJ6" s="72"/>
      <c r="RAM6" s="71"/>
      <c r="RAP6" s="72"/>
      <c r="RAR6" s="73"/>
      <c r="RAS6" s="72"/>
      <c r="RAV6" s="71"/>
      <c r="RAY6" s="72"/>
      <c r="RBA6" s="73"/>
      <c r="RBB6" s="72"/>
      <c r="RBE6" s="71"/>
      <c r="RBH6" s="72"/>
      <c r="RBJ6" s="73"/>
      <c r="RBK6" s="72"/>
      <c r="RBN6" s="71"/>
      <c r="RBQ6" s="72"/>
      <c r="RBS6" s="73"/>
      <c r="RBT6" s="72"/>
      <c r="RBW6" s="71"/>
      <c r="RBZ6" s="72"/>
      <c r="RCB6" s="73"/>
      <c r="RCC6" s="72"/>
      <c r="RCF6" s="71"/>
      <c r="RCI6" s="72"/>
      <c r="RCK6" s="73"/>
      <c r="RCL6" s="72"/>
      <c r="RCO6" s="71"/>
      <c r="RCR6" s="72"/>
      <c r="RCT6" s="73"/>
      <c r="RCU6" s="72"/>
      <c r="RCX6" s="71"/>
      <c r="RDA6" s="72"/>
      <c r="RDC6" s="73"/>
      <c r="RDD6" s="72"/>
      <c r="RDG6" s="71"/>
      <c r="RDJ6" s="72"/>
      <c r="RDL6" s="73"/>
      <c r="RDM6" s="72"/>
      <c r="RDP6" s="71"/>
      <c r="RDS6" s="72"/>
      <c r="RDU6" s="73"/>
      <c r="RDV6" s="72"/>
      <c r="RDY6" s="71"/>
      <c r="REB6" s="72"/>
      <c r="RED6" s="73"/>
      <c r="REE6" s="72"/>
      <c r="REH6" s="71"/>
      <c r="REK6" s="72"/>
      <c r="REM6" s="73"/>
      <c r="REN6" s="72"/>
      <c r="REQ6" s="71"/>
      <c r="RET6" s="72"/>
      <c r="REV6" s="73"/>
      <c r="REW6" s="72"/>
      <c r="REZ6" s="71"/>
      <c r="RFC6" s="72"/>
      <c r="RFE6" s="73"/>
      <c r="RFF6" s="72"/>
      <c r="RFI6" s="71"/>
      <c r="RFL6" s="72"/>
      <c r="RFN6" s="73"/>
      <c r="RFO6" s="72"/>
      <c r="RFR6" s="71"/>
      <c r="RFU6" s="72"/>
      <c r="RFW6" s="73"/>
      <c r="RFX6" s="72"/>
      <c r="RGA6" s="71"/>
      <c r="RGD6" s="72"/>
      <c r="RGF6" s="73"/>
      <c r="RGG6" s="72"/>
      <c r="RGJ6" s="71"/>
      <c r="RGM6" s="72"/>
      <c r="RGO6" s="73"/>
      <c r="RGP6" s="72"/>
      <c r="RGS6" s="71"/>
      <c r="RGV6" s="72"/>
      <c r="RGX6" s="73"/>
      <c r="RGY6" s="72"/>
      <c r="RHB6" s="71"/>
      <c r="RHE6" s="72"/>
      <c r="RHG6" s="73"/>
      <c r="RHH6" s="72"/>
      <c r="RHK6" s="71"/>
      <c r="RHN6" s="72"/>
      <c r="RHP6" s="73"/>
      <c r="RHQ6" s="72"/>
      <c r="RHT6" s="71"/>
      <c r="RHW6" s="72"/>
      <c r="RHY6" s="73"/>
      <c r="RHZ6" s="72"/>
      <c r="RIC6" s="71"/>
      <c r="RIF6" s="72"/>
      <c r="RIH6" s="73"/>
      <c r="RII6" s="72"/>
      <c r="RIL6" s="71"/>
      <c r="RIO6" s="72"/>
      <c r="RIQ6" s="73"/>
      <c r="RIR6" s="72"/>
      <c r="RIU6" s="71"/>
      <c r="RIX6" s="72"/>
      <c r="RIZ6" s="73"/>
      <c r="RJA6" s="72"/>
      <c r="RJD6" s="71"/>
      <c r="RJG6" s="72"/>
      <c r="RJI6" s="73"/>
      <c r="RJJ6" s="72"/>
      <c r="RJM6" s="71"/>
      <c r="RJP6" s="72"/>
      <c r="RJR6" s="73"/>
      <c r="RJS6" s="72"/>
      <c r="RJV6" s="71"/>
      <c r="RJY6" s="72"/>
      <c r="RKA6" s="73"/>
      <c r="RKB6" s="72"/>
      <c r="RKE6" s="71"/>
      <c r="RKH6" s="72"/>
      <c r="RKJ6" s="73"/>
      <c r="RKK6" s="72"/>
      <c r="RKN6" s="71"/>
      <c r="RKQ6" s="72"/>
      <c r="RKS6" s="73"/>
      <c r="RKT6" s="72"/>
      <c r="RKW6" s="71"/>
      <c r="RKZ6" s="72"/>
      <c r="RLB6" s="73"/>
      <c r="RLC6" s="72"/>
      <c r="RLF6" s="71"/>
      <c r="RLI6" s="72"/>
      <c r="RLK6" s="73"/>
      <c r="RLL6" s="72"/>
      <c r="RLO6" s="71"/>
      <c r="RLR6" s="72"/>
      <c r="RLT6" s="73"/>
      <c r="RLU6" s="72"/>
      <c r="RLX6" s="71"/>
      <c r="RMA6" s="72"/>
      <c r="RMC6" s="73"/>
      <c r="RMD6" s="72"/>
      <c r="RMG6" s="71"/>
      <c r="RMJ6" s="72"/>
      <c r="RML6" s="73"/>
      <c r="RMM6" s="72"/>
      <c r="RMP6" s="71"/>
      <c r="RMS6" s="72"/>
      <c r="RMU6" s="73"/>
      <c r="RMV6" s="72"/>
      <c r="RMY6" s="71"/>
      <c r="RNB6" s="72"/>
      <c r="RND6" s="73"/>
      <c r="RNE6" s="72"/>
      <c r="RNH6" s="71"/>
      <c r="RNK6" s="72"/>
      <c r="RNM6" s="73"/>
      <c r="RNN6" s="72"/>
      <c r="RNQ6" s="71"/>
      <c r="RNT6" s="72"/>
      <c r="RNV6" s="73"/>
      <c r="RNW6" s="72"/>
      <c r="RNZ6" s="71"/>
      <c r="ROC6" s="72"/>
      <c r="ROE6" s="73"/>
      <c r="ROF6" s="72"/>
      <c r="ROI6" s="71"/>
      <c r="ROL6" s="72"/>
      <c r="RON6" s="73"/>
      <c r="ROO6" s="72"/>
      <c r="ROR6" s="71"/>
      <c r="ROU6" s="72"/>
      <c r="ROW6" s="73"/>
      <c r="ROX6" s="72"/>
      <c r="RPA6" s="71"/>
      <c r="RPD6" s="72"/>
      <c r="RPF6" s="73"/>
      <c r="RPG6" s="72"/>
      <c r="RPJ6" s="71"/>
      <c r="RPM6" s="72"/>
      <c r="RPO6" s="73"/>
      <c r="RPP6" s="72"/>
      <c r="RPS6" s="71"/>
      <c r="RPV6" s="72"/>
      <c r="RPX6" s="73"/>
      <c r="RPY6" s="72"/>
      <c r="RQB6" s="71"/>
      <c r="RQE6" s="72"/>
      <c r="RQG6" s="73"/>
      <c r="RQH6" s="72"/>
      <c r="RQK6" s="71"/>
      <c r="RQN6" s="72"/>
      <c r="RQP6" s="73"/>
      <c r="RQQ6" s="72"/>
      <c r="RQT6" s="71"/>
      <c r="RQW6" s="72"/>
      <c r="RQY6" s="73"/>
      <c r="RQZ6" s="72"/>
      <c r="RRC6" s="71"/>
      <c r="RRF6" s="72"/>
      <c r="RRH6" s="73"/>
      <c r="RRI6" s="72"/>
      <c r="RRL6" s="71"/>
      <c r="RRO6" s="72"/>
      <c r="RRQ6" s="73"/>
      <c r="RRR6" s="72"/>
      <c r="RRU6" s="71"/>
      <c r="RRX6" s="72"/>
      <c r="RRZ6" s="73"/>
      <c r="RSA6" s="72"/>
      <c r="RSD6" s="71"/>
      <c r="RSG6" s="72"/>
      <c r="RSI6" s="73"/>
      <c r="RSJ6" s="72"/>
      <c r="RSM6" s="71"/>
      <c r="RSP6" s="72"/>
      <c r="RSR6" s="73"/>
      <c r="RSS6" s="72"/>
      <c r="RSV6" s="71"/>
      <c r="RSY6" s="72"/>
      <c r="RTA6" s="73"/>
      <c r="RTB6" s="72"/>
      <c r="RTE6" s="71"/>
      <c r="RTH6" s="72"/>
      <c r="RTJ6" s="73"/>
      <c r="RTK6" s="72"/>
      <c r="RTN6" s="71"/>
      <c r="RTQ6" s="72"/>
      <c r="RTS6" s="73"/>
      <c r="RTT6" s="72"/>
      <c r="RTW6" s="71"/>
      <c r="RTZ6" s="72"/>
      <c r="RUB6" s="73"/>
      <c r="RUC6" s="72"/>
      <c r="RUF6" s="71"/>
      <c r="RUI6" s="72"/>
      <c r="RUK6" s="73"/>
      <c r="RUL6" s="72"/>
      <c r="RUO6" s="71"/>
      <c r="RUR6" s="72"/>
      <c r="RUT6" s="73"/>
      <c r="RUU6" s="72"/>
      <c r="RUX6" s="71"/>
      <c r="RVA6" s="72"/>
      <c r="RVC6" s="73"/>
      <c r="RVD6" s="72"/>
      <c r="RVG6" s="71"/>
      <c r="RVJ6" s="72"/>
      <c r="RVL6" s="73"/>
      <c r="RVM6" s="72"/>
      <c r="RVP6" s="71"/>
      <c r="RVS6" s="72"/>
      <c r="RVU6" s="73"/>
      <c r="RVV6" s="72"/>
      <c r="RVY6" s="71"/>
      <c r="RWB6" s="72"/>
      <c r="RWD6" s="73"/>
      <c r="RWE6" s="72"/>
      <c r="RWH6" s="71"/>
      <c r="RWK6" s="72"/>
      <c r="RWM6" s="73"/>
      <c r="RWN6" s="72"/>
      <c r="RWQ6" s="71"/>
      <c r="RWT6" s="72"/>
      <c r="RWV6" s="73"/>
      <c r="RWW6" s="72"/>
      <c r="RWZ6" s="71"/>
      <c r="RXC6" s="72"/>
      <c r="RXE6" s="73"/>
      <c r="RXF6" s="72"/>
      <c r="RXI6" s="71"/>
      <c r="RXL6" s="72"/>
      <c r="RXN6" s="73"/>
      <c r="RXO6" s="72"/>
      <c r="RXR6" s="71"/>
      <c r="RXU6" s="72"/>
      <c r="RXW6" s="73"/>
      <c r="RXX6" s="72"/>
      <c r="RYA6" s="71"/>
      <c r="RYD6" s="72"/>
      <c r="RYF6" s="73"/>
      <c r="RYG6" s="72"/>
      <c r="RYJ6" s="71"/>
      <c r="RYM6" s="72"/>
      <c r="RYO6" s="73"/>
      <c r="RYP6" s="72"/>
      <c r="RYS6" s="71"/>
      <c r="RYV6" s="72"/>
      <c r="RYX6" s="73"/>
      <c r="RYY6" s="72"/>
      <c r="RZB6" s="71"/>
      <c r="RZE6" s="72"/>
      <c r="RZG6" s="73"/>
      <c r="RZH6" s="72"/>
      <c r="RZK6" s="71"/>
      <c r="RZN6" s="72"/>
      <c r="RZP6" s="73"/>
      <c r="RZQ6" s="72"/>
      <c r="RZT6" s="71"/>
      <c r="RZW6" s="72"/>
      <c r="RZY6" s="73"/>
      <c r="RZZ6" s="72"/>
      <c r="SAC6" s="71"/>
      <c r="SAF6" s="72"/>
      <c r="SAH6" s="73"/>
      <c r="SAI6" s="72"/>
      <c r="SAL6" s="71"/>
      <c r="SAO6" s="72"/>
      <c r="SAQ6" s="73"/>
      <c r="SAR6" s="72"/>
      <c r="SAU6" s="71"/>
      <c r="SAX6" s="72"/>
      <c r="SAZ6" s="73"/>
      <c r="SBA6" s="72"/>
      <c r="SBD6" s="71"/>
      <c r="SBG6" s="72"/>
      <c r="SBI6" s="73"/>
      <c r="SBJ6" s="72"/>
      <c r="SBM6" s="71"/>
      <c r="SBP6" s="72"/>
      <c r="SBR6" s="73"/>
      <c r="SBS6" s="72"/>
      <c r="SBV6" s="71"/>
      <c r="SBY6" s="72"/>
      <c r="SCA6" s="73"/>
      <c r="SCB6" s="72"/>
      <c r="SCE6" s="71"/>
      <c r="SCH6" s="72"/>
      <c r="SCJ6" s="73"/>
      <c r="SCK6" s="72"/>
      <c r="SCN6" s="71"/>
      <c r="SCQ6" s="72"/>
      <c r="SCS6" s="73"/>
      <c r="SCT6" s="72"/>
      <c r="SCW6" s="71"/>
      <c r="SCZ6" s="72"/>
      <c r="SDB6" s="73"/>
      <c r="SDC6" s="72"/>
      <c r="SDF6" s="71"/>
      <c r="SDI6" s="72"/>
      <c r="SDK6" s="73"/>
      <c r="SDL6" s="72"/>
      <c r="SDO6" s="71"/>
      <c r="SDR6" s="72"/>
      <c r="SDT6" s="73"/>
      <c r="SDU6" s="72"/>
      <c r="SDX6" s="71"/>
      <c r="SEA6" s="72"/>
      <c r="SEC6" s="73"/>
      <c r="SED6" s="72"/>
      <c r="SEG6" s="71"/>
      <c r="SEJ6" s="72"/>
      <c r="SEL6" s="73"/>
      <c r="SEM6" s="72"/>
      <c r="SEP6" s="71"/>
      <c r="SES6" s="72"/>
      <c r="SEU6" s="73"/>
      <c r="SEV6" s="72"/>
      <c r="SEY6" s="71"/>
      <c r="SFB6" s="72"/>
      <c r="SFD6" s="73"/>
      <c r="SFE6" s="72"/>
      <c r="SFH6" s="71"/>
      <c r="SFK6" s="72"/>
      <c r="SFM6" s="73"/>
      <c r="SFN6" s="72"/>
      <c r="SFQ6" s="71"/>
      <c r="SFT6" s="72"/>
      <c r="SFV6" s="73"/>
      <c r="SFW6" s="72"/>
      <c r="SFZ6" s="71"/>
      <c r="SGC6" s="72"/>
      <c r="SGE6" s="73"/>
      <c r="SGF6" s="72"/>
      <c r="SGI6" s="71"/>
      <c r="SGL6" s="72"/>
      <c r="SGN6" s="73"/>
      <c r="SGO6" s="72"/>
      <c r="SGR6" s="71"/>
      <c r="SGU6" s="72"/>
      <c r="SGW6" s="73"/>
      <c r="SGX6" s="72"/>
      <c r="SHA6" s="71"/>
      <c r="SHD6" s="72"/>
      <c r="SHF6" s="73"/>
      <c r="SHG6" s="72"/>
      <c r="SHJ6" s="71"/>
      <c r="SHM6" s="72"/>
      <c r="SHO6" s="73"/>
      <c r="SHP6" s="72"/>
      <c r="SHS6" s="71"/>
      <c r="SHV6" s="72"/>
      <c r="SHX6" s="73"/>
      <c r="SHY6" s="72"/>
      <c r="SIB6" s="71"/>
      <c r="SIE6" s="72"/>
      <c r="SIG6" s="73"/>
      <c r="SIH6" s="72"/>
      <c r="SIK6" s="71"/>
      <c r="SIN6" s="72"/>
      <c r="SIP6" s="73"/>
      <c r="SIQ6" s="72"/>
      <c r="SIT6" s="71"/>
      <c r="SIW6" s="72"/>
      <c r="SIY6" s="73"/>
      <c r="SIZ6" s="72"/>
      <c r="SJC6" s="71"/>
      <c r="SJF6" s="72"/>
      <c r="SJH6" s="73"/>
      <c r="SJI6" s="72"/>
      <c r="SJL6" s="71"/>
      <c r="SJO6" s="72"/>
      <c r="SJQ6" s="73"/>
      <c r="SJR6" s="72"/>
      <c r="SJU6" s="71"/>
      <c r="SJX6" s="72"/>
      <c r="SJZ6" s="73"/>
      <c r="SKA6" s="72"/>
      <c r="SKD6" s="71"/>
      <c r="SKG6" s="72"/>
      <c r="SKI6" s="73"/>
      <c r="SKJ6" s="72"/>
      <c r="SKM6" s="71"/>
      <c r="SKP6" s="72"/>
      <c r="SKR6" s="73"/>
      <c r="SKS6" s="72"/>
      <c r="SKV6" s="71"/>
      <c r="SKY6" s="72"/>
      <c r="SLA6" s="73"/>
      <c r="SLB6" s="72"/>
      <c r="SLE6" s="71"/>
      <c r="SLH6" s="72"/>
      <c r="SLJ6" s="73"/>
      <c r="SLK6" s="72"/>
      <c r="SLN6" s="71"/>
      <c r="SLQ6" s="72"/>
      <c r="SLS6" s="73"/>
      <c r="SLT6" s="72"/>
      <c r="SLW6" s="71"/>
      <c r="SLZ6" s="72"/>
      <c r="SMB6" s="73"/>
      <c r="SMC6" s="72"/>
      <c r="SMF6" s="71"/>
      <c r="SMI6" s="72"/>
      <c r="SMK6" s="73"/>
      <c r="SML6" s="72"/>
      <c r="SMO6" s="71"/>
      <c r="SMR6" s="72"/>
      <c r="SMT6" s="73"/>
      <c r="SMU6" s="72"/>
      <c r="SMX6" s="71"/>
      <c r="SNA6" s="72"/>
      <c r="SNC6" s="73"/>
      <c r="SND6" s="72"/>
      <c r="SNG6" s="71"/>
      <c r="SNJ6" s="72"/>
      <c r="SNL6" s="73"/>
      <c r="SNM6" s="72"/>
      <c r="SNP6" s="71"/>
      <c r="SNS6" s="72"/>
      <c r="SNU6" s="73"/>
      <c r="SNV6" s="72"/>
      <c r="SNY6" s="71"/>
      <c r="SOB6" s="72"/>
      <c r="SOD6" s="73"/>
      <c r="SOE6" s="72"/>
      <c r="SOH6" s="71"/>
      <c r="SOK6" s="72"/>
      <c r="SOM6" s="73"/>
      <c r="SON6" s="72"/>
      <c r="SOQ6" s="71"/>
      <c r="SOT6" s="72"/>
      <c r="SOV6" s="73"/>
      <c r="SOW6" s="72"/>
      <c r="SOZ6" s="71"/>
      <c r="SPC6" s="72"/>
      <c r="SPE6" s="73"/>
      <c r="SPF6" s="72"/>
      <c r="SPI6" s="71"/>
      <c r="SPL6" s="72"/>
      <c r="SPN6" s="73"/>
      <c r="SPO6" s="72"/>
      <c r="SPR6" s="71"/>
      <c r="SPU6" s="72"/>
      <c r="SPW6" s="73"/>
      <c r="SPX6" s="72"/>
      <c r="SQA6" s="71"/>
      <c r="SQD6" s="72"/>
      <c r="SQF6" s="73"/>
      <c r="SQG6" s="72"/>
      <c r="SQJ6" s="71"/>
      <c r="SQM6" s="72"/>
      <c r="SQO6" s="73"/>
      <c r="SQP6" s="72"/>
      <c r="SQS6" s="71"/>
      <c r="SQV6" s="72"/>
      <c r="SQX6" s="73"/>
      <c r="SQY6" s="72"/>
      <c r="SRB6" s="71"/>
      <c r="SRE6" s="72"/>
      <c r="SRG6" s="73"/>
      <c r="SRH6" s="72"/>
      <c r="SRK6" s="71"/>
      <c r="SRN6" s="72"/>
      <c r="SRP6" s="73"/>
      <c r="SRQ6" s="72"/>
      <c r="SRT6" s="71"/>
      <c r="SRW6" s="72"/>
      <c r="SRY6" s="73"/>
      <c r="SRZ6" s="72"/>
      <c r="SSC6" s="71"/>
      <c r="SSF6" s="72"/>
      <c r="SSH6" s="73"/>
      <c r="SSI6" s="72"/>
      <c r="SSL6" s="71"/>
      <c r="SSO6" s="72"/>
      <c r="SSQ6" s="73"/>
      <c r="SSR6" s="72"/>
      <c r="SSU6" s="71"/>
      <c r="SSX6" s="72"/>
      <c r="SSZ6" s="73"/>
      <c r="STA6" s="72"/>
      <c r="STD6" s="71"/>
      <c r="STG6" s="72"/>
      <c r="STI6" s="73"/>
      <c r="STJ6" s="72"/>
      <c r="STM6" s="71"/>
      <c r="STP6" s="72"/>
      <c r="STR6" s="73"/>
      <c r="STS6" s="72"/>
      <c r="STV6" s="71"/>
      <c r="STY6" s="72"/>
      <c r="SUA6" s="73"/>
      <c r="SUB6" s="72"/>
      <c r="SUE6" s="71"/>
      <c r="SUH6" s="72"/>
      <c r="SUJ6" s="73"/>
      <c r="SUK6" s="72"/>
      <c r="SUN6" s="71"/>
      <c r="SUQ6" s="72"/>
      <c r="SUS6" s="73"/>
      <c r="SUT6" s="72"/>
      <c r="SUW6" s="71"/>
      <c r="SUZ6" s="72"/>
      <c r="SVB6" s="73"/>
      <c r="SVC6" s="72"/>
      <c r="SVF6" s="71"/>
      <c r="SVI6" s="72"/>
      <c r="SVK6" s="73"/>
      <c r="SVL6" s="72"/>
      <c r="SVO6" s="71"/>
      <c r="SVR6" s="72"/>
      <c r="SVT6" s="73"/>
      <c r="SVU6" s="72"/>
      <c r="SVX6" s="71"/>
      <c r="SWA6" s="72"/>
      <c r="SWC6" s="73"/>
      <c r="SWD6" s="72"/>
      <c r="SWG6" s="71"/>
      <c r="SWJ6" s="72"/>
      <c r="SWL6" s="73"/>
      <c r="SWM6" s="72"/>
      <c r="SWP6" s="71"/>
      <c r="SWS6" s="72"/>
      <c r="SWU6" s="73"/>
      <c r="SWV6" s="72"/>
      <c r="SWY6" s="71"/>
      <c r="SXB6" s="72"/>
      <c r="SXD6" s="73"/>
      <c r="SXE6" s="72"/>
      <c r="SXH6" s="71"/>
      <c r="SXK6" s="72"/>
      <c r="SXM6" s="73"/>
      <c r="SXN6" s="72"/>
      <c r="SXQ6" s="71"/>
      <c r="SXT6" s="72"/>
      <c r="SXV6" s="73"/>
      <c r="SXW6" s="72"/>
      <c r="SXZ6" s="71"/>
      <c r="SYC6" s="72"/>
      <c r="SYE6" s="73"/>
      <c r="SYF6" s="72"/>
      <c r="SYI6" s="71"/>
      <c r="SYL6" s="72"/>
      <c r="SYN6" s="73"/>
      <c r="SYO6" s="72"/>
      <c r="SYR6" s="71"/>
      <c r="SYU6" s="72"/>
      <c r="SYW6" s="73"/>
      <c r="SYX6" s="72"/>
      <c r="SZA6" s="71"/>
      <c r="SZD6" s="72"/>
      <c r="SZF6" s="73"/>
      <c r="SZG6" s="72"/>
      <c r="SZJ6" s="71"/>
      <c r="SZM6" s="72"/>
      <c r="SZO6" s="73"/>
      <c r="SZP6" s="72"/>
      <c r="SZS6" s="71"/>
      <c r="SZV6" s="72"/>
      <c r="SZX6" s="73"/>
      <c r="SZY6" s="72"/>
      <c r="TAB6" s="71"/>
      <c r="TAE6" s="72"/>
      <c r="TAG6" s="73"/>
      <c r="TAH6" s="72"/>
      <c r="TAK6" s="71"/>
      <c r="TAN6" s="72"/>
      <c r="TAP6" s="73"/>
      <c r="TAQ6" s="72"/>
      <c r="TAT6" s="71"/>
      <c r="TAW6" s="72"/>
      <c r="TAY6" s="73"/>
      <c r="TAZ6" s="72"/>
      <c r="TBC6" s="71"/>
      <c r="TBF6" s="72"/>
      <c r="TBH6" s="73"/>
      <c r="TBI6" s="72"/>
      <c r="TBL6" s="71"/>
      <c r="TBO6" s="72"/>
      <c r="TBQ6" s="73"/>
      <c r="TBR6" s="72"/>
      <c r="TBU6" s="71"/>
      <c r="TBX6" s="72"/>
      <c r="TBZ6" s="73"/>
      <c r="TCA6" s="72"/>
      <c r="TCD6" s="71"/>
      <c r="TCG6" s="72"/>
      <c r="TCI6" s="73"/>
      <c r="TCJ6" s="72"/>
      <c r="TCM6" s="71"/>
      <c r="TCP6" s="72"/>
      <c r="TCR6" s="73"/>
      <c r="TCS6" s="72"/>
      <c r="TCV6" s="71"/>
      <c r="TCY6" s="72"/>
      <c r="TDA6" s="73"/>
      <c r="TDB6" s="72"/>
      <c r="TDE6" s="71"/>
      <c r="TDH6" s="72"/>
      <c r="TDJ6" s="73"/>
      <c r="TDK6" s="72"/>
      <c r="TDN6" s="71"/>
      <c r="TDQ6" s="72"/>
      <c r="TDS6" s="73"/>
      <c r="TDT6" s="72"/>
      <c r="TDW6" s="71"/>
      <c r="TDZ6" s="72"/>
      <c r="TEB6" s="73"/>
      <c r="TEC6" s="72"/>
      <c r="TEF6" s="71"/>
      <c r="TEI6" s="72"/>
      <c r="TEK6" s="73"/>
      <c r="TEL6" s="72"/>
      <c r="TEO6" s="71"/>
      <c r="TER6" s="72"/>
      <c r="TET6" s="73"/>
      <c r="TEU6" s="72"/>
      <c r="TEX6" s="71"/>
      <c r="TFA6" s="72"/>
      <c r="TFC6" s="73"/>
      <c r="TFD6" s="72"/>
      <c r="TFG6" s="71"/>
      <c r="TFJ6" s="72"/>
      <c r="TFL6" s="73"/>
      <c r="TFM6" s="72"/>
      <c r="TFP6" s="71"/>
      <c r="TFS6" s="72"/>
      <c r="TFU6" s="73"/>
      <c r="TFV6" s="72"/>
      <c r="TFY6" s="71"/>
      <c r="TGB6" s="72"/>
      <c r="TGD6" s="73"/>
      <c r="TGE6" s="72"/>
      <c r="TGH6" s="71"/>
      <c r="TGK6" s="72"/>
      <c r="TGM6" s="73"/>
      <c r="TGN6" s="72"/>
      <c r="TGQ6" s="71"/>
      <c r="TGT6" s="72"/>
      <c r="TGV6" s="73"/>
      <c r="TGW6" s="72"/>
      <c r="TGZ6" s="71"/>
      <c r="THC6" s="72"/>
      <c r="THE6" s="73"/>
      <c r="THF6" s="72"/>
      <c r="THI6" s="71"/>
      <c r="THL6" s="72"/>
      <c r="THN6" s="73"/>
      <c r="THO6" s="72"/>
      <c r="THR6" s="71"/>
      <c r="THU6" s="72"/>
      <c r="THW6" s="73"/>
      <c r="THX6" s="72"/>
      <c r="TIA6" s="71"/>
      <c r="TID6" s="72"/>
      <c r="TIF6" s="73"/>
      <c r="TIG6" s="72"/>
      <c r="TIJ6" s="71"/>
      <c r="TIM6" s="72"/>
      <c r="TIO6" s="73"/>
      <c r="TIP6" s="72"/>
      <c r="TIS6" s="71"/>
      <c r="TIV6" s="72"/>
      <c r="TIX6" s="73"/>
      <c r="TIY6" s="72"/>
      <c r="TJB6" s="71"/>
      <c r="TJE6" s="72"/>
      <c r="TJG6" s="73"/>
      <c r="TJH6" s="72"/>
      <c r="TJK6" s="71"/>
      <c r="TJN6" s="72"/>
      <c r="TJP6" s="73"/>
      <c r="TJQ6" s="72"/>
      <c r="TJT6" s="71"/>
      <c r="TJW6" s="72"/>
      <c r="TJY6" s="73"/>
      <c r="TJZ6" s="72"/>
      <c r="TKC6" s="71"/>
      <c r="TKF6" s="72"/>
      <c r="TKH6" s="73"/>
      <c r="TKI6" s="72"/>
      <c r="TKL6" s="71"/>
      <c r="TKO6" s="72"/>
      <c r="TKQ6" s="73"/>
      <c r="TKR6" s="72"/>
      <c r="TKU6" s="71"/>
      <c r="TKX6" s="72"/>
      <c r="TKZ6" s="73"/>
      <c r="TLA6" s="72"/>
      <c r="TLD6" s="71"/>
      <c r="TLG6" s="72"/>
      <c r="TLI6" s="73"/>
      <c r="TLJ6" s="72"/>
      <c r="TLM6" s="71"/>
      <c r="TLP6" s="72"/>
      <c r="TLR6" s="73"/>
      <c r="TLS6" s="72"/>
      <c r="TLV6" s="71"/>
      <c r="TLY6" s="72"/>
      <c r="TMA6" s="73"/>
      <c r="TMB6" s="72"/>
      <c r="TME6" s="71"/>
      <c r="TMH6" s="72"/>
      <c r="TMJ6" s="73"/>
      <c r="TMK6" s="72"/>
      <c r="TMN6" s="71"/>
      <c r="TMQ6" s="72"/>
      <c r="TMS6" s="73"/>
      <c r="TMT6" s="72"/>
      <c r="TMW6" s="71"/>
      <c r="TMZ6" s="72"/>
      <c r="TNB6" s="73"/>
      <c r="TNC6" s="72"/>
      <c r="TNF6" s="71"/>
      <c r="TNI6" s="72"/>
      <c r="TNK6" s="73"/>
      <c r="TNL6" s="72"/>
      <c r="TNO6" s="71"/>
      <c r="TNR6" s="72"/>
      <c r="TNT6" s="73"/>
      <c r="TNU6" s="72"/>
      <c r="TNX6" s="71"/>
      <c r="TOA6" s="72"/>
      <c r="TOC6" s="73"/>
      <c r="TOD6" s="72"/>
      <c r="TOG6" s="71"/>
      <c r="TOJ6" s="72"/>
      <c r="TOL6" s="73"/>
      <c r="TOM6" s="72"/>
      <c r="TOP6" s="71"/>
      <c r="TOS6" s="72"/>
      <c r="TOU6" s="73"/>
      <c r="TOV6" s="72"/>
      <c r="TOY6" s="71"/>
      <c r="TPB6" s="72"/>
      <c r="TPD6" s="73"/>
      <c r="TPE6" s="72"/>
      <c r="TPH6" s="71"/>
      <c r="TPK6" s="72"/>
      <c r="TPM6" s="73"/>
      <c r="TPN6" s="72"/>
      <c r="TPQ6" s="71"/>
      <c r="TPT6" s="72"/>
      <c r="TPV6" s="73"/>
      <c r="TPW6" s="72"/>
      <c r="TPZ6" s="71"/>
      <c r="TQC6" s="72"/>
      <c r="TQE6" s="73"/>
      <c r="TQF6" s="72"/>
      <c r="TQI6" s="71"/>
      <c r="TQL6" s="72"/>
      <c r="TQN6" s="73"/>
      <c r="TQO6" s="72"/>
      <c r="TQR6" s="71"/>
      <c r="TQU6" s="72"/>
      <c r="TQW6" s="73"/>
      <c r="TQX6" s="72"/>
      <c r="TRA6" s="71"/>
      <c r="TRD6" s="72"/>
      <c r="TRF6" s="73"/>
      <c r="TRG6" s="72"/>
      <c r="TRJ6" s="71"/>
      <c r="TRM6" s="72"/>
      <c r="TRO6" s="73"/>
      <c r="TRP6" s="72"/>
      <c r="TRS6" s="71"/>
      <c r="TRV6" s="72"/>
      <c r="TRX6" s="73"/>
      <c r="TRY6" s="72"/>
      <c r="TSB6" s="71"/>
      <c r="TSE6" s="72"/>
      <c r="TSG6" s="73"/>
      <c r="TSH6" s="72"/>
      <c r="TSK6" s="71"/>
      <c r="TSN6" s="72"/>
      <c r="TSP6" s="73"/>
      <c r="TSQ6" s="72"/>
      <c r="TST6" s="71"/>
      <c r="TSW6" s="72"/>
      <c r="TSY6" s="73"/>
      <c r="TSZ6" s="72"/>
      <c r="TTC6" s="71"/>
      <c r="TTF6" s="72"/>
      <c r="TTH6" s="73"/>
      <c r="TTI6" s="72"/>
      <c r="TTL6" s="71"/>
      <c r="TTO6" s="72"/>
      <c r="TTQ6" s="73"/>
      <c r="TTR6" s="72"/>
      <c r="TTU6" s="71"/>
      <c r="TTX6" s="72"/>
      <c r="TTZ6" s="73"/>
      <c r="TUA6" s="72"/>
      <c r="TUD6" s="71"/>
      <c r="TUG6" s="72"/>
      <c r="TUI6" s="73"/>
      <c r="TUJ6" s="72"/>
      <c r="TUM6" s="71"/>
      <c r="TUP6" s="72"/>
      <c r="TUR6" s="73"/>
      <c r="TUS6" s="72"/>
      <c r="TUV6" s="71"/>
      <c r="TUY6" s="72"/>
      <c r="TVA6" s="73"/>
      <c r="TVB6" s="72"/>
      <c r="TVE6" s="71"/>
      <c r="TVH6" s="72"/>
      <c r="TVJ6" s="73"/>
      <c r="TVK6" s="72"/>
      <c r="TVN6" s="71"/>
      <c r="TVQ6" s="72"/>
      <c r="TVS6" s="73"/>
      <c r="TVT6" s="72"/>
      <c r="TVW6" s="71"/>
      <c r="TVZ6" s="72"/>
      <c r="TWB6" s="73"/>
      <c r="TWC6" s="72"/>
      <c r="TWF6" s="71"/>
      <c r="TWI6" s="72"/>
      <c r="TWK6" s="73"/>
      <c r="TWL6" s="72"/>
      <c r="TWO6" s="71"/>
      <c r="TWR6" s="72"/>
      <c r="TWT6" s="73"/>
      <c r="TWU6" s="72"/>
      <c r="TWX6" s="71"/>
      <c r="TXA6" s="72"/>
      <c r="TXC6" s="73"/>
      <c r="TXD6" s="72"/>
      <c r="TXG6" s="71"/>
      <c r="TXJ6" s="72"/>
      <c r="TXL6" s="73"/>
      <c r="TXM6" s="72"/>
      <c r="TXP6" s="71"/>
      <c r="TXS6" s="72"/>
      <c r="TXU6" s="73"/>
      <c r="TXV6" s="72"/>
      <c r="TXY6" s="71"/>
      <c r="TYB6" s="72"/>
      <c r="TYD6" s="73"/>
      <c r="TYE6" s="72"/>
      <c r="TYH6" s="71"/>
      <c r="TYK6" s="72"/>
      <c r="TYM6" s="73"/>
      <c r="TYN6" s="72"/>
      <c r="TYQ6" s="71"/>
      <c r="TYT6" s="72"/>
      <c r="TYV6" s="73"/>
      <c r="TYW6" s="72"/>
      <c r="TYZ6" s="71"/>
      <c r="TZC6" s="72"/>
      <c r="TZE6" s="73"/>
      <c r="TZF6" s="72"/>
      <c r="TZI6" s="71"/>
      <c r="TZL6" s="72"/>
      <c r="TZN6" s="73"/>
      <c r="TZO6" s="72"/>
      <c r="TZR6" s="71"/>
      <c r="TZU6" s="72"/>
      <c r="TZW6" s="73"/>
      <c r="TZX6" s="72"/>
      <c r="UAA6" s="71"/>
      <c r="UAD6" s="72"/>
      <c r="UAF6" s="73"/>
      <c r="UAG6" s="72"/>
      <c r="UAJ6" s="71"/>
      <c r="UAM6" s="72"/>
      <c r="UAO6" s="73"/>
      <c r="UAP6" s="72"/>
      <c r="UAS6" s="71"/>
      <c r="UAV6" s="72"/>
      <c r="UAX6" s="73"/>
      <c r="UAY6" s="72"/>
      <c r="UBB6" s="71"/>
      <c r="UBE6" s="72"/>
      <c r="UBG6" s="73"/>
      <c r="UBH6" s="72"/>
      <c r="UBK6" s="71"/>
      <c r="UBN6" s="72"/>
      <c r="UBP6" s="73"/>
      <c r="UBQ6" s="72"/>
      <c r="UBT6" s="71"/>
      <c r="UBW6" s="72"/>
      <c r="UBY6" s="73"/>
      <c r="UBZ6" s="72"/>
      <c r="UCC6" s="71"/>
      <c r="UCF6" s="72"/>
      <c r="UCH6" s="73"/>
      <c r="UCI6" s="72"/>
      <c r="UCL6" s="71"/>
      <c r="UCO6" s="72"/>
      <c r="UCQ6" s="73"/>
      <c r="UCR6" s="72"/>
      <c r="UCU6" s="71"/>
      <c r="UCX6" s="72"/>
      <c r="UCZ6" s="73"/>
      <c r="UDA6" s="72"/>
      <c r="UDD6" s="71"/>
      <c r="UDG6" s="72"/>
      <c r="UDI6" s="73"/>
      <c r="UDJ6" s="72"/>
      <c r="UDM6" s="71"/>
      <c r="UDP6" s="72"/>
      <c r="UDR6" s="73"/>
      <c r="UDS6" s="72"/>
      <c r="UDV6" s="71"/>
      <c r="UDY6" s="72"/>
      <c r="UEA6" s="73"/>
      <c r="UEB6" s="72"/>
      <c r="UEE6" s="71"/>
      <c r="UEH6" s="72"/>
      <c r="UEJ6" s="73"/>
      <c r="UEK6" s="72"/>
      <c r="UEN6" s="71"/>
      <c r="UEQ6" s="72"/>
      <c r="UES6" s="73"/>
      <c r="UET6" s="72"/>
      <c r="UEW6" s="71"/>
      <c r="UEZ6" s="72"/>
      <c r="UFB6" s="73"/>
      <c r="UFC6" s="72"/>
      <c r="UFF6" s="71"/>
      <c r="UFI6" s="72"/>
      <c r="UFK6" s="73"/>
      <c r="UFL6" s="72"/>
      <c r="UFO6" s="71"/>
      <c r="UFR6" s="72"/>
      <c r="UFT6" s="73"/>
      <c r="UFU6" s="72"/>
      <c r="UFX6" s="71"/>
      <c r="UGA6" s="72"/>
      <c r="UGC6" s="73"/>
      <c r="UGD6" s="72"/>
      <c r="UGG6" s="71"/>
      <c r="UGJ6" s="72"/>
      <c r="UGL6" s="73"/>
      <c r="UGM6" s="72"/>
      <c r="UGP6" s="71"/>
      <c r="UGS6" s="72"/>
      <c r="UGU6" s="73"/>
      <c r="UGV6" s="72"/>
      <c r="UGY6" s="71"/>
      <c r="UHB6" s="72"/>
      <c r="UHD6" s="73"/>
      <c r="UHE6" s="72"/>
      <c r="UHH6" s="71"/>
      <c r="UHK6" s="72"/>
      <c r="UHM6" s="73"/>
      <c r="UHN6" s="72"/>
      <c r="UHQ6" s="71"/>
      <c r="UHT6" s="72"/>
      <c r="UHV6" s="73"/>
      <c r="UHW6" s="72"/>
      <c r="UHZ6" s="71"/>
      <c r="UIC6" s="72"/>
      <c r="UIE6" s="73"/>
      <c r="UIF6" s="72"/>
      <c r="UII6" s="71"/>
      <c r="UIL6" s="72"/>
      <c r="UIN6" s="73"/>
      <c r="UIO6" s="72"/>
      <c r="UIR6" s="71"/>
      <c r="UIU6" s="72"/>
      <c r="UIW6" s="73"/>
      <c r="UIX6" s="72"/>
      <c r="UJA6" s="71"/>
      <c r="UJD6" s="72"/>
      <c r="UJF6" s="73"/>
      <c r="UJG6" s="72"/>
      <c r="UJJ6" s="71"/>
      <c r="UJM6" s="72"/>
      <c r="UJO6" s="73"/>
      <c r="UJP6" s="72"/>
      <c r="UJS6" s="71"/>
      <c r="UJV6" s="72"/>
      <c r="UJX6" s="73"/>
      <c r="UJY6" s="72"/>
      <c r="UKB6" s="71"/>
      <c r="UKE6" s="72"/>
      <c r="UKG6" s="73"/>
      <c r="UKH6" s="72"/>
      <c r="UKK6" s="71"/>
      <c r="UKN6" s="72"/>
      <c r="UKP6" s="73"/>
      <c r="UKQ6" s="72"/>
      <c r="UKT6" s="71"/>
      <c r="UKW6" s="72"/>
      <c r="UKY6" s="73"/>
      <c r="UKZ6" s="72"/>
      <c r="ULC6" s="71"/>
      <c r="ULF6" s="72"/>
      <c r="ULH6" s="73"/>
      <c r="ULI6" s="72"/>
      <c r="ULL6" s="71"/>
      <c r="ULO6" s="72"/>
      <c r="ULQ6" s="73"/>
      <c r="ULR6" s="72"/>
      <c r="ULU6" s="71"/>
      <c r="ULX6" s="72"/>
      <c r="ULZ6" s="73"/>
      <c r="UMA6" s="72"/>
      <c r="UMD6" s="71"/>
      <c r="UMG6" s="72"/>
      <c r="UMI6" s="73"/>
      <c r="UMJ6" s="72"/>
      <c r="UMM6" s="71"/>
      <c r="UMP6" s="72"/>
      <c r="UMR6" s="73"/>
      <c r="UMS6" s="72"/>
      <c r="UMV6" s="71"/>
      <c r="UMY6" s="72"/>
      <c r="UNA6" s="73"/>
      <c r="UNB6" s="72"/>
      <c r="UNE6" s="71"/>
      <c r="UNH6" s="72"/>
      <c r="UNJ6" s="73"/>
      <c r="UNK6" s="72"/>
      <c r="UNN6" s="71"/>
      <c r="UNQ6" s="72"/>
      <c r="UNS6" s="73"/>
      <c r="UNT6" s="72"/>
      <c r="UNW6" s="71"/>
      <c r="UNZ6" s="72"/>
      <c r="UOB6" s="73"/>
      <c r="UOC6" s="72"/>
      <c r="UOF6" s="71"/>
      <c r="UOI6" s="72"/>
      <c r="UOK6" s="73"/>
      <c r="UOL6" s="72"/>
      <c r="UOO6" s="71"/>
      <c r="UOR6" s="72"/>
      <c r="UOT6" s="73"/>
      <c r="UOU6" s="72"/>
      <c r="UOX6" s="71"/>
      <c r="UPA6" s="72"/>
      <c r="UPC6" s="73"/>
      <c r="UPD6" s="72"/>
      <c r="UPG6" s="71"/>
      <c r="UPJ6" s="72"/>
      <c r="UPL6" s="73"/>
      <c r="UPM6" s="72"/>
      <c r="UPP6" s="71"/>
      <c r="UPS6" s="72"/>
      <c r="UPU6" s="73"/>
      <c r="UPV6" s="72"/>
      <c r="UPY6" s="71"/>
      <c r="UQB6" s="72"/>
      <c r="UQD6" s="73"/>
      <c r="UQE6" s="72"/>
      <c r="UQH6" s="71"/>
      <c r="UQK6" s="72"/>
      <c r="UQM6" s="73"/>
      <c r="UQN6" s="72"/>
      <c r="UQQ6" s="71"/>
      <c r="UQT6" s="72"/>
      <c r="UQV6" s="73"/>
      <c r="UQW6" s="72"/>
      <c r="UQZ6" s="71"/>
      <c r="URC6" s="72"/>
      <c r="URE6" s="73"/>
      <c r="URF6" s="72"/>
      <c r="URI6" s="71"/>
      <c r="URL6" s="72"/>
      <c r="URN6" s="73"/>
      <c r="URO6" s="72"/>
      <c r="URR6" s="71"/>
      <c r="URU6" s="72"/>
      <c r="URW6" s="73"/>
      <c r="URX6" s="72"/>
      <c r="USA6" s="71"/>
      <c r="USD6" s="72"/>
      <c r="USF6" s="73"/>
      <c r="USG6" s="72"/>
      <c r="USJ6" s="71"/>
      <c r="USM6" s="72"/>
      <c r="USO6" s="73"/>
      <c r="USP6" s="72"/>
      <c r="USS6" s="71"/>
      <c r="USV6" s="72"/>
      <c r="USX6" s="73"/>
      <c r="USY6" s="72"/>
      <c r="UTB6" s="71"/>
      <c r="UTE6" s="72"/>
      <c r="UTG6" s="73"/>
      <c r="UTH6" s="72"/>
      <c r="UTK6" s="71"/>
      <c r="UTN6" s="72"/>
      <c r="UTP6" s="73"/>
      <c r="UTQ6" s="72"/>
      <c r="UTT6" s="71"/>
      <c r="UTW6" s="72"/>
      <c r="UTY6" s="73"/>
      <c r="UTZ6" s="72"/>
      <c r="UUC6" s="71"/>
      <c r="UUF6" s="72"/>
      <c r="UUH6" s="73"/>
      <c r="UUI6" s="72"/>
      <c r="UUL6" s="71"/>
      <c r="UUO6" s="72"/>
      <c r="UUQ6" s="73"/>
      <c r="UUR6" s="72"/>
      <c r="UUU6" s="71"/>
      <c r="UUX6" s="72"/>
      <c r="UUZ6" s="73"/>
      <c r="UVA6" s="72"/>
      <c r="UVD6" s="71"/>
      <c r="UVG6" s="72"/>
      <c r="UVI6" s="73"/>
      <c r="UVJ6" s="72"/>
      <c r="UVM6" s="71"/>
      <c r="UVP6" s="72"/>
      <c r="UVR6" s="73"/>
      <c r="UVS6" s="72"/>
      <c r="UVV6" s="71"/>
      <c r="UVY6" s="72"/>
      <c r="UWA6" s="73"/>
      <c r="UWB6" s="72"/>
      <c r="UWE6" s="71"/>
      <c r="UWH6" s="72"/>
      <c r="UWJ6" s="73"/>
      <c r="UWK6" s="72"/>
      <c r="UWN6" s="71"/>
      <c r="UWQ6" s="72"/>
      <c r="UWS6" s="73"/>
      <c r="UWT6" s="72"/>
      <c r="UWW6" s="71"/>
      <c r="UWZ6" s="72"/>
      <c r="UXB6" s="73"/>
      <c r="UXC6" s="72"/>
      <c r="UXF6" s="71"/>
      <c r="UXI6" s="72"/>
      <c r="UXK6" s="73"/>
      <c r="UXL6" s="72"/>
      <c r="UXO6" s="71"/>
      <c r="UXR6" s="72"/>
      <c r="UXT6" s="73"/>
      <c r="UXU6" s="72"/>
      <c r="UXX6" s="71"/>
      <c r="UYA6" s="72"/>
      <c r="UYC6" s="73"/>
      <c r="UYD6" s="72"/>
      <c r="UYG6" s="71"/>
      <c r="UYJ6" s="72"/>
      <c r="UYL6" s="73"/>
      <c r="UYM6" s="72"/>
      <c r="UYP6" s="71"/>
      <c r="UYS6" s="72"/>
      <c r="UYU6" s="73"/>
      <c r="UYV6" s="72"/>
      <c r="UYY6" s="71"/>
      <c r="UZB6" s="72"/>
      <c r="UZD6" s="73"/>
      <c r="UZE6" s="72"/>
      <c r="UZH6" s="71"/>
      <c r="UZK6" s="72"/>
      <c r="UZM6" s="73"/>
      <c r="UZN6" s="72"/>
      <c r="UZQ6" s="71"/>
      <c r="UZT6" s="72"/>
      <c r="UZV6" s="73"/>
      <c r="UZW6" s="72"/>
      <c r="UZZ6" s="71"/>
      <c r="VAC6" s="72"/>
      <c r="VAE6" s="73"/>
      <c r="VAF6" s="72"/>
      <c r="VAI6" s="71"/>
      <c r="VAL6" s="72"/>
      <c r="VAN6" s="73"/>
      <c r="VAO6" s="72"/>
      <c r="VAR6" s="71"/>
      <c r="VAU6" s="72"/>
      <c r="VAW6" s="73"/>
      <c r="VAX6" s="72"/>
      <c r="VBA6" s="71"/>
      <c r="VBD6" s="72"/>
      <c r="VBF6" s="73"/>
      <c r="VBG6" s="72"/>
      <c r="VBJ6" s="71"/>
      <c r="VBM6" s="72"/>
      <c r="VBO6" s="73"/>
      <c r="VBP6" s="72"/>
      <c r="VBS6" s="71"/>
      <c r="VBV6" s="72"/>
      <c r="VBX6" s="73"/>
      <c r="VBY6" s="72"/>
      <c r="VCB6" s="71"/>
      <c r="VCE6" s="72"/>
      <c r="VCG6" s="73"/>
      <c r="VCH6" s="72"/>
      <c r="VCK6" s="71"/>
      <c r="VCN6" s="72"/>
      <c r="VCP6" s="73"/>
      <c r="VCQ6" s="72"/>
      <c r="VCT6" s="71"/>
      <c r="VCW6" s="72"/>
      <c r="VCY6" s="73"/>
      <c r="VCZ6" s="72"/>
      <c r="VDC6" s="71"/>
      <c r="VDF6" s="72"/>
      <c r="VDH6" s="73"/>
      <c r="VDI6" s="72"/>
      <c r="VDL6" s="71"/>
      <c r="VDO6" s="72"/>
      <c r="VDQ6" s="73"/>
      <c r="VDR6" s="72"/>
      <c r="VDU6" s="71"/>
      <c r="VDX6" s="72"/>
      <c r="VDZ6" s="73"/>
      <c r="VEA6" s="72"/>
      <c r="VED6" s="71"/>
      <c r="VEG6" s="72"/>
      <c r="VEI6" s="73"/>
      <c r="VEJ6" s="72"/>
      <c r="VEM6" s="71"/>
      <c r="VEP6" s="72"/>
      <c r="VER6" s="73"/>
      <c r="VES6" s="72"/>
      <c r="VEV6" s="71"/>
      <c r="VEY6" s="72"/>
      <c r="VFA6" s="73"/>
      <c r="VFB6" s="72"/>
      <c r="VFE6" s="71"/>
      <c r="VFH6" s="72"/>
      <c r="VFJ6" s="73"/>
      <c r="VFK6" s="72"/>
      <c r="VFN6" s="71"/>
      <c r="VFQ6" s="72"/>
      <c r="VFS6" s="73"/>
      <c r="VFT6" s="72"/>
      <c r="VFW6" s="71"/>
      <c r="VFZ6" s="72"/>
      <c r="VGB6" s="73"/>
      <c r="VGC6" s="72"/>
      <c r="VGF6" s="71"/>
      <c r="VGI6" s="72"/>
      <c r="VGK6" s="73"/>
      <c r="VGL6" s="72"/>
      <c r="VGO6" s="71"/>
      <c r="VGR6" s="72"/>
      <c r="VGT6" s="73"/>
      <c r="VGU6" s="72"/>
      <c r="VGX6" s="71"/>
      <c r="VHA6" s="72"/>
      <c r="VHC6" s="73"/>
      <c r="VHD6" s="72"/>
      <c r="VHG6" s="71"/>
      <c r="VHJ6" s="72"/>
      <c r="VHL6" s="73"/>
      <c r="VHM6" s="72"/>
      <c r="VHP6" s="71"/>
      <c r="VHS6" s="72"/>
      <c r="VHU6" s="73"/>
      <c r="VHV6" s="72"/>
      <c r="VHY6" s="71"/>
      <c r="VIB6" s="72"/>
      <c r="VID6" s="73"/>
      <c r="VIE6" s="72"/>
      <c r="VIH6" s="71"/>
      <c r="VIK6" s="72"/>
      <c r="VIM6" s="73"/>
      <c r="VIN6" s="72"/>
      <c r="VIQ6" s="71"/>
      <c r="VIT6" s="72"/>
      <c r="VIV6" s="73"/>
      <c r="VIW6" s="72"/>
      <c r="VIZ6" s="71"/>
      <c r="VJC6" s="72"/>
      <c r="VJE6" s="73"/>
      <c r="VJF6" s="72"/>
      <c r="VJI6" s="71"/>
      <c r="VJL6" s="72"/>
      <c r="VJN6" s="73"/>
      <c r="VJO6" s="72"/>
      <c r="VJR6" s="71"/>
      <c r="VJU6" s="72"/>
      <c r="VJW6" s="73"/>
      <c r="VJX6" s="72"/>
      <c r="VKA6" s="71"/>
      <c r="VKD6" s="72"/>
      <c r="VKF6" s="73"/>
      <c r="VKG6" s="72"/>
      <c r="VKJ6" s="71"/>
      <c r="VKM6" s="72"/>
      <c r="VKO6" s="73"/>
      <c r="VKP6" s="72"/>
      <c r="VKS6" s="71"/>
      <c r="VKV6" s="72"/>
      <c r="VKX6" s="73"/>
      <c r="VKY6" s="72"/>
      <c r="VLB6" s="71"/>
      <c r="VLE6" s="72"/>
      <c r="VLG6" s="73"/>
      <c r="VLH6" s="72"/>
      <c r="VLK6" s="71"/>
      <c r="VLN6" s="72"/>
      <c r="VLP6" s="73"/>
      <c r="VLQ6" s="72"/>
      <c r="VLT6" s="71"/>
      <c r="VLW6" s="72"/>
      <c r="VLY6" s="73"/>
      <c r="VLZ6" s="72"/>
      <c r="VMC6" s="71"/>
      <c r="VMF6" s="72"/>
      <c r="VMH6" s="73"/>
      <c r="VMI6" s="72"/>
      <c r="VML6" s="71"/>
      <c r="VMO6" s="72"/>
      <c r="VMQ6" s="73"/>
      <c r="VMR6" s="72"/>
      <c r="VMU6" s="71"/>
      <c r="VMX6" s="72"/>
      <c r="VMZ6" s="73"/>
      <c r="VNA6" s="72"/>
      <c r="VND6" s="71"/>
      <c r="VNG6" s="72"/>
      <c r="VNI6" s="73"/>
      <c r="VNJ6" s="72"/>
      <c r="VNM6" s="71"/>
      <c r="VNP6" s="72"/>
      <c r="VNR6" s="73"/>
      <c r="VNS6" s="72"/>
      <c r="VNV6" s="71"/>
      <c r="VNY6" s="72"/>
      <c r="VOA6" s="73"/>
      <c r="VOB6" s="72"/>
      <c r="VOE6" s="71"/>
      <c r="VOH6" s="72"/>
      <c r="VOJ6" s="73"/>
      <c r="VOK6" s="72"/>
      <c r="VON6" s="71"/>
      <c r="VOQ6" s="72"/>
      <c r="VOS6" s="73"/>
      <c r="VOT6" s="72"/>
      <c r="VOW6" s="71"/>
      <c r="VOZ6" s="72"/>
      <c r="VPB6" s="73"/>
      <c r="VPC6" s="72"/>
      <c r="VPF6" s="71"/>
      <c r="VPI6" s="72"/>
      <c r="VPK6" s="73"/>
      <c r="VPL6" s="72"/>
      <c r="VPO6" s="71"/>
      <c r="VPR6" s="72"/>
      <c r="VPT6" s="73"/>
      <c r="VPU6" s="72"/>
      <c r="VPX6" s="71"/>
      <c r="VQA6" s="72"/>
      <c r="VQC6" s="73"/>
      <c r="VQD6" s="72"/>
      <c r="VQG6" s="71"/>
      <c r="VQJ6" s="72"/>
      <c r="VQL6" s="73"/>
      <c r="VQM6" s="72"/>
      <c r="VQP6" s="71"/>
      <c r="VQS6" s="72"/>
      <c r="VQU6" s="73"/>
      <c r="VQV6" s="72"/>
      <c r="VQY6" s="71"/>
      <c r="VRB6" s="72"/>
      <c r="VRD6" s="73"/>
      <c r="VRE6" s="72"/>
      <c r="VRH6" s="71"/>
      <c r="VRK6" s="72"/>
      <c r="VRM6" s="73"/>
      <c r="VRN6" s="72"/>
      <c r="VRQ6" s="71"/>
      <c r="VRT6" s="72"/>
      <c r="VRV6" s="73"/>
      <c r="VRW6" s="72"/>
      <c r="VRZ6" s="71"/>
      <c r="VSC6" s="72"/>
      <c r="VSE6" s="73"/>
      <c r="VSF6" s="72"/>
      <c r="VSI6" s="71"/>
      <c r="VSL6" s="72"/>
      <c r="VSN6" s="73"/>
      <c r="VSO6" s="72"/>
      <c r="VSR6" s="71"/>
      <c r="VSU6" s="72"/>
      <c r="VSW6" s="73"/>
      <c r="VSX6" s="72"/>
      <c r="VTA6" s="71"/>
      <c r="VTD6" s="72"/>
      <c r="VTF6" s="73"/>
      <c r="VTG6" s="72"/>
      <c r="VTJ6" s="71"/>
      <c r="VTM6" s="72"/>
      <c r="VTO6" s="73"/>
      <c r="VTP6" s="72"/>
      <c r="VTS6" s="71"/>
      <c r="VTV6" s="72"/>
      <c r="VTX6" s="73"/>
      <c r="VTY6" s="72"/>
      <c r="VUB6" s="71"/>
      <c r="VUE6" s="72"/>
      <c r="VUG6" s="73"/>
      <c r="VUH6" s="72"/>
      <c r="VUK6" s="71"/>
      <c r="VUN6" s="72"/>
      <c r="VUP6" s="73"/>
      <c r="VUQ6" s="72"/>
      <c r="VUT6" s="71"/>
      <c r="VUW6" s="72"/>
      <c r="VUY6" s="73"/>
      <c r="VUZ6" s="72"/>
      <c r="VVC6" s="71"/>
      <c r="VVF6" s="72"/>
      <c r="VVH6" s="73"/>
      <c r="VVI6" s="72"/>
      <c r="VVL6" s="71"/>
      <c r="VVO6" s="72"/>
      <c r="VVQ6" s="73"/>
      <c r="VVR6" s="72"/>
      <c r="VVU6" s="71"/>
      <c r="VVX6" s="72"/>
      <c r="VVZ6" s="73"/>
      <c r="VWA6" s="72"/>
      <c r="VWD6" s="71"/>
      <c r="VWG6" s="72"/>
      <c r="VWI6" s="73"/>
      <c r="VWJ6" s="72"/>
      <c r="VWM6" s="71"/>
      <c r="VWP6" s="72"/>
      <c r="VWR6" s="73"/>
      <c r="VWS6" s="72"/>
      <c r="VWV6" s="71"/>
      <c r="VWY6" s="72"/>
      <c r="VXA6" s="73"/>
      <c r="VXB6" s="72"/>
      <c r="VXE6" s="71"/>
      <c r="VXH6" s="72"/>
      <c r="VXJ6" s="73"/>
      <c r="VXK6" s="72"/>
      <c r="VXN6" s="71"/>
      <c r="VXQ6" s="72"/>
      <c r="VXS6" s="73"/>
      <c r="VXT6" s="72"/>
      <c r="VXW6" s="71"/>
      <c r="VXZ6" s="72"/>
      <c r="VYB6" s="73"/>
      <c r="VYC6" s="72"/>
      <c r="VYF6" s="71"/>
      <c r="VYI6" s="72"/>
      <c r="VYK6" s="73"/>
      <c r="VYL6" s="72"/>
      <c r="VYO6" s="71"/>
      <c r="VYR6" s="72"/>
      <c r="VYT6" s="73"/>
      <c r="VYU6" s="72"/>
      <c r="VYX6" s="71"/>
      <c r="VZA6" s="72"/>
      <c r="VZC6" s="73"/>
      <c r="VZD6" s="72"/>
      <c r="VZG6" s="71"/>
      <c r="VZJ6" s="72"/>
      <c r="VZL6" s="73"/>
      <c r="VZM6" s="72"/>
      <c r="VZP6" s="71"/>
      <c r="VZS6" s="72"/>
      <c r="VZU6" s="73"/>
      <c r="VZV6" s="72"/>
      <c r="VZY6" s="71"/>
      <c r="WAB6" s="72"/>
      <c r="WAD6" s="73"/>
      <c r="WAE6" s="72"/>
      <c r="WAH6" s="71"/>
      <c r="WAK6" s="72"/>
      <c r="WAM6" s="73"/>
      <c r="WAN6" s="72"/>
      <c r="WAQ6" s="71"/>
      <c r="WAT6" s="72"/>
      <c r="WAV6" s="73"/>
      <c r="WAW6" s="72"/>
      <c r="WAZ6" s="71"/>
      <c r="WBC6" s="72"/>
      <c r="WBE6" s="73"/>
      <c r="WBF6" s="72"/>
      <c r="WBI6" s="71"/>
      <c r="WBL6" s="72"/>
      <c r="WBN6" s="73"/>
      <c r="WBO6" s="72"/>
      <c r="WBR6" s="71"/>
      <c r="WBU6" s="72"/>
      <c r="WBW6" s="73"/>
      <c r="WBX6" s="72"/>
      <c r="WCA6" s="71"/>
      <c r="WCD6" s="72"/>
      <c r="WCF6" s="73"/>
      <c r="WCG6" s="72"/>
      <c r="WCJ6" s="71"/>
      <c r="WCM6" s="72"/>
      <c r="WCO6" s="73"/>
      <c r="WCP6" s="72"/>
      <c r="WCS6" s="71"/>
      <c r="WCV6" s="72"/>
      <c r="WCX6" s="73"/>
      <c r="WCY6" s="72"/>
      <c r="WDB6" s="71"/>
      <c r="WDE6" s="72"/>
      <c r="WDG6" s="73"/>
      <c r="WDH6" s="72"/>
      <c r="WDK6" s="71"/>
      <c r="WDN6" s="72"/>
      <c r="WDP6" s="73"/>
      <c r="WDQ6" s="72"/>
      <c r="WDT6" s="71"/>
      <c r="WDW6" s="72"/>
      <c r="WDY6" s="73"/>
      <c r="WDZ6" s="72"/>
      <c r="WEC6" s="71"/>
      <c r="WEF6" s="72"/>
      <c r="WEH6" s="73"/>
      <c r="WEI6" s="72"/>
      <c r="WEL6" s="71"/>
      <c r="WEO6" s="72"/>
      <c r="WEQ6" s="73"/>
      <c r="WER6" s="72"/>
      <c r="WEU6" s="71"/>
      <c r="WEX6" s="72"/>
      <c r="WEZ6" s="73"/>
      <c r="WFA6" s="72"/>
      <c r="WFD6" s="71"/>
      <c r="WFG6" s="72"/>
      <c r="WFI6" s="73"/>
      <c r="WFJ6" s="72"/>
      <c r="WFM6" s="71"/>
      <c r="WFP6" s="72"/>
      <c r="WFR6" s="73"/>
      <c r="WFS6" s="72"/>
      <c r="WFV6" s="71"/>
      <c r="WFY6" s="72"/>
      <c r="WGA6" s="73"/>
      <c r="WGB6" s="72"/>
      <c r="WGE6" s="71"/>
      <c r="WGH6" s="72"/>
      <c r="WGJ6" s="73"/>
      <c r="WGK6" s="72"/>
      <c r="WGN6" s="71"/>
      <c r="WGQ6" s="72"/>
      <c r="WGS6" s="73"/>
      <c r="WGT6" s="72"/>
      <c r="WGW6" s="71"/>
      <c r="WGZ6" s="72"/>
      <c r="WHB6" s="73"/>
      <c r="WHC6" s="72"/>
      <c r="WHF6" s="71"/>
      <c r="WHI6" s="72"/>
      <c r="WHK6" s="73"/>
      <c r="WHL6" s="72"/>
      <c r="WHO6" s="71"/>
      <c r="WHR6" s="72"/>
      <c r="WHT6" s="73"/>
      <c r="WHU6" s="72"/>
      <c r="WHX6" s="71"/>
      <c r="WIA6" s="72"/>
      <c r="WIC6" s="73"/>
      <c r="WID6" s="72"/>
      <c r="WIG6" s="71"/>
      <c r="WIJ6" s="72"/>
      <c r="WIL6" s="73"/>
      <c r="WIM6" s="72"/>
      <c r="WIP6" s="71"/>
      <c r="WIS6" s="72"/>
      <c r="WIU6" s="73"/>
      <c r="WIV6" s="72"/>
      <c r="WIY6" s="71"/>
      <c r="WJB6" s="72"/>
      <c r="WJD6" s="73"/>
      <c r="WJE6" s="72"/>
      <c r="WJH6" s="71"/>
      <c r="WJK6" s="72"/>
      <c r="WJM6" s="73"/>
      <c r="WJN6" s="72"/>
      <c r="WJQ6" s="71"/>
      <c r="WJT6" s="72"/>
      <c r="WJV6" s="73"/>
      <c r="WJW6" s="72"/>
      <c r="WJZ6" s="71"/>
      <c r="WKC6" s="72"/>
      <c r="WKE6" s="73"/>
      <c r="WKF6" s="72"/>
      <c r="WKI6" s="71"/>
      <c r="WKL6" s="72"/>
      <c r="WKN6" s="73"/>
      <c r="WKO6" s="72"/>
      <c r="WKR6" s="71"/>
      <c r="WKU6" s="72"/>
      <c r="WKW6" s="73"/>
      <c r="WKX6" s="72"/>
      <c r="WLA6" s="71"/>
      <c r="WLD6" s="72"/>
      <c r="WLF6" s="73"/>
      <c r="WLG6" s="72"/>
      <c r="WLJ6" s="71"/>
      <c r="WLM6" s="72"/>
      <c r="WLO6" s="73"/>
      <c r="WLP6" s="72"/>
      <c r="WLS6" s="71"/>
      <c r="WLV6" s="72"/>
      <c r="WLX6" s="73"/>
      <c r="WLY6" s="72"/>
      <c r="WMB6" s="71"/>
      <c r="WME6" s="72"/>
      <c r="WMG6" s="73"/>
      <c r="WMH6" s="72"/>
      <c r="WMK6" s="71"/>
      <c r="WMN6" s="72"/>
      <c r="WMP6" s="73"/>
      <c r="WMQ6" s="72"/>
      <c r="WMT6" s="71"/>
      <c r="WMW6" s="72"/>
      <c r="WMY6" s="73"/>
      <c r="WMZ6" s="72"/>
      <c r="WNC6" s="71"/>
      <c r="WNF6" s="72"/>
      <c r="WNH6" s="73"/>
      <c r="WNI6" s="72"/>
      <c r="WNL6" s="71"/>
      <c r="WNO6" s="72"/>
      <c r="WNQ6" s="73"/>
      <c r="WNR6" s="72"/>
      <c r="WNU6" s="71"/>
      <c r="WNX6" s="72"/>
      <c r="WNZ6" s="73"/>
      <c r="WOA6" s="72"/>
      <c r="WOD6" s="71"/>
      <c r="WOG6" s="72"/>
      <c r="WOI6" s="73"/>
      <c r="WOJ6" s="72"/>
      <c r="WOM6" s="71"/>
      <c r="WOP6" s="72"/>
      <c r="WOR6" s="73"/>
      <c r="WOS6" s="72"/>
      <c r="WOV6" s="71"/>
      <c r="WOY6" s="72"/>
      <c r="WPA6" s="73"/>
      <c r="WPB6" s="72"/>
      <c r="WPE6" s="71"/>
      <c r="WPH6" s="72"/>
      <c r="WPJ6" s="73"/>
      <c r="WPK6" s="72"/>
      <c r="WPN6" s="71"/>
      <c r="WPQ6" s="72"/>
      <c r="WPS6" s="73"/>
      <c r="WPT6" s="72"/>
      <c r="WPW6" s="71"/>
      <c r="WPZ6" s="72"/>
      <c r="WQB6" s="73"/>
      <c r="WQC6" s="72"/>
      <c r="WQF6" s="71"/>
      <c r="WQI6" s="72"/>
      <c r="WQK6" s="73"/>
      <c r="WQL6" s="72"/>
      <c r="WQO6" s="71"/>
      <c r="WQR6" s="72"/>
      <c r="WQT6" s="73"/>
      <c r="WQU6" s="72"/>
      <c r="WQX6" s="71"/>
      <c r="WRA6" s="72"/>
      <c r="WRC6" s="73"/>
      <c r="WRD6" s="72"/>
      <c r="WRG6" s="71"/>
      <c r="WRJ6" s="72"/>
      <c r="WRL6" s="73"/>
      <c r="WRM6" s="72"/>
      <c r="WRP6" s="71"/>
      <c r="WRS6" s="72"/>
      <c r="WRU6" s="73"/>
      <c r="WRV6" s="72"/>
      <c r="WRY6" s="71"/>
      <c r="WSB6" s="72"/>
      <c r="WSD6" s="73"/>
      <c r="WSE6" s="72"/>
      <c r="WSH6" s="71"/>
      <c r="WSK6" s="72"/>
      <c r="WSM6" s="73"/>
      <c r="WSN6" s="72"/>
      <c r="WSQ6" s="71"/>
      <c r="WST6" s="72"/>
      <c r="WSV6" s="73"/>
      <c r="WSW6" s="72"/>
      <c r="WSZ6" s="71"/>
      <c r="WTC6" s="72"/>
      <c r="WTE6" s="73"/>
      <c r="WTF6" s="72"/>
      <c r="WTI6" s="71"/>
      <c r="WTL6" s="72"/>
      <c r="WTN6" s="73"/>
      <c r="WTO6" s="72"/>
      <c r="WTR6" s="71"/>
      <c r="WTU6" s="72"/>
      <c r="WTW6" s="73"/>
      <c r="WTX6" s="72"/>
      <c r="WUA6" s="71"/>
      <c r="WUD6" s="72"/>
      <c r="WUF6" s="73"/>
      <c r="WUG6" s="72"/>
      <c r="WUJ6" s="71"/>
      <c r="WUM6" s="72"/>
      <c r="WUO6" s="73"/>
      <c r="WUP6" s="72"/>
      <c r="WUS6" s="71"/>
      <c r="WUV6" s="72"/>
      <c r="WUX6" s="73"/>
      <c r="WUY6" s="72"/>
      <c r="WVB6" s="71"/>
      <c r="WVE6" s="72"/>
      <c r="WVG6" s="73"/>
      <c r="WVH6" s="72"/>
      <c r="WVK6" s="71"/>
      <c r="WVN6" s="72"/>
      <c r="WVP6" s="73"/>
      <c r="WVQ6" s="72"/>
      <c r="WVT6" s="71"/>
      <c r="WVW6" s="72"/>
      <c r="WVY6" s="73"/>
      <c r="WVZ6" s="72"/>
      <c r="WWC6" s="71"/>
      <c r="WWF6" s="72"/>
      <c r="WWH6" s="73"/>
      <c r="WWI6" s="72"/>
      <c r="WWL6" s="71"/>
      <c r="WWO6" s="72"/>
      <c r="WWQ6" s="73"/>
      <c r="WWR6" s="72"/>
      <c r="WWU6" s="71"/>
      <c r="WWX6" s="72"/>
      <c r="WWZ6" s="73"/>
      <c r="WXA6" s="72"/>
      <c r="WXD6" s="71"/>
      <c r="WXG6" s="72"/>
      <c r="WXI6" s="73"/>
      <c r="WXJ6" s="72"/>
      <c r="WXM6" s="71"/>
      <c r="WXP6" s="72"/>
      <c r="WXR6" s="73"/>
      <c r="WXS6" s="72"/>
      <c r="WXV6" s="71"/>
      <c r="WXY6" s="72"/>
      <c r="WYA6" s="73"/>
      <c r="WYB6" s="72"/>
      <c r="WYE6" s="71"/>
      <c r="WYH6" s="72"/>
      <c r="WYJ6" s="73"/>
      <c r="WYK6" s="72"/>
      <c r="WYN6" s="71"/>
      <c r="WYQ6" s="72"/>
      <c r="WYS6" s="73"/>
      <c r="WYT6" s="72"/>
      <c r="WYW6" s="71"/>
      <c r="WYZ6" s="72"/>
      <c r="WZB6" s="73"/>
      <c r="WZC6" s="72"/>
      <c r="WZF6" s="71"/>
      <c r="WZI6" s="72"/>
      <c r="WZK6" s="73"/>
      <c r="WZL6" s="72"/>
      <c r="WZO6" s="71"/>
      <c r="WZR6" s="72"/>
      <c r="WZT6" s="73"/>
      <c r="WZU6" s="72"/>
      <c r="WZX6" s="71"/>
      <c r="XAA6" s="72"/>
      <c r="XAC6" s="73"/>
      <c r="XAD6" s="72"/>
      <c r="XAG6" s="71"/>
      <c r="XAJ6" s="72"/>
      <c r="XAL6" s="73"/>
      <c r="XAM6" s="72"/>
      <c r="XAP6" s="71"/>
      <c r="XAS6" s="72"/>
      <c r="XAU6" s="73"/>
      <c r="XAV6" s="72"/>
      <c r="XAY6" s="71"/>
      <c r="XBB6" s="72"/>
      <c r="XBD6" s="73"/>
      <c r="XBE6" s="72"/>
      <c r="XBH6" s="71"/>
      <c r="XBK6" s="72"/>
      <c r="XBM6" s="73"/>
      <c r="XBN6" s="72"/>
      <c r="XBQ6" s="71"/>
      <c r="XBT6" s="72"/>
      <c r="XBV6" s="73"/>
      <c r="XBW6" s="72"/>
      <c r="XBZ6" s="71"/>
      <c r="XCC6" s="72"/>
      <c r="XCE6" s="73"/>
      <c r="XCF6" s="72"/>
      <c r="XCI6" s="71"/>
      <c r="XCL6" s="72"/>
      <c r="XCN6" s="73"/>
      <c r="XCO6" s="72"/>
      <c r="XCR6" s="71"/>
      <c r="XCU6" s="72"/>
      <c r="XCW6" s="73"/>
      <c r="XCX6" s="72"/>
      <c r="XDA6" s="71"/>
      <c r="XDD6" s="72"/>
      <c r="XDF6" s="73"/>
      <c r="XDG6" s="72"/>
      <c r="XDJ6" s="71"/>
      <c r="XDM6" s="72"/>
      <c r="XDO6" s="73"/>
      <c r="XDP6" s="72"/>
      <c r="XDS6" s="71"/>
      <c r="XDV6" s="72"/>
      <c r="XDX6" s="73"/>
      <c r="XDY6" s="72"/>
      <c r="XEB6" s="71"/>
      <c r="XEE6" s="72"/>
      <c r="XEG6" s="73"/>
      <c r="XEH6" s="72"/>
      <c r="XEK6" s="71"/>
      <c r="XEN6" s="72"/>
      <c r="XEP6" s="73"/>
      <c r="XEQ6" s="72"/>
      <c r="XET6" s="71"/>
      <c r="XEW6" s="72"/>
      <c r="XEY6" s="73"/>
      <c r="XEZ6" s="72"/>
      <c r="XFC6" s="71"/>
    </row>
    <row r="7" spans="1:1023 1025:2046 2049:3072 3075:4095 4098:6144 6146:7167 7170:8190 8193:9216 9219:10239 10241:11262 11265:12288 12291:13311 13314:15360 15362:16383" ht="40.5">
      <c r="A7" s="48" t="s">
        <v>166</v>
      </c>
      <c r="B7" s="48">
        <v>1</v>
      </c>
      <c r="C7" s="64" t="s">
        <v>167</v>
      </c>
      <c r="D7" s="48">
        <v>5</v>
      </c>
      <c r="E7" s="48" t="s">
        <v>168</v>
      </c>
      <c r="F7" s="65" t="s">
        <v>169</v>
      </c>
      <c r="G7" s="48" t="s">
        <v>170</v>
      </c>
      <c r="H7" s="68" t="s">
        <v>171</v>
      </c>
      <c r="I7" s="65" t="s">
        <v>172</v>
      </c>
    </row>
    <row r="8" spans="1:1023 1025:2046 2049:3072 3075:4095 4098:6144 6146:7167 7170:8190 8193:9216 9219:10239 10241:11262 11265:12288 12291:13311 13314:15360 15362:16383" ht="40.5">
      <c r="A8" s="48" t="s">
        <v>50</v>
      </c>
      <c r="B8" s="48" t="s">
        <v>173</v>
      </c>
      <c r="C8" s="48" t="s">
        <v>174</v>
      </c>
      <c r="D8" s="48">
        <v>7.2</v>
      </c>
      <c r="E8" s="48" t="str">
        <f t="shared" ref="E8" si="1">IF(D8&lt;4, "Low", IF(D8&lt;7, "Medium", IF(D8&lt;9, "High", "Critical")))</f>
        <v>High</v>
      </c>
      <c r="F8" s="65" t="s">
        <v>175</v>
      </c>
      <c r="G8" s="48" t="s">
        <v>176</v>
      </c>
      <c r="H8" s="68" t="s">
        <v>177</v>
      </c>
      <c r="I8" s="65" t="s">
        <v>178</v>
      </c>
    </row>
    <row r="9" spans="1:1023 1025:2046 2049:3072 3075:4095 4098:6144 6146:7167 7170:8190 8193:9216 9219:10239 10241:11262 11265:12288 12291:13311 13314:15360 15362:16383">
      <c r="A9" s="48"/>
      <c r="B9" s="48"/>
      <c r="C9" s="48"/>
      <c r="D9" s="48"/>
      <c r="E9" s="48"/>
      <c r="F9" s="65"/>
      <c r="G9" s="48"/>
      <c r="H9" s="68"/>
      <c r="I9" s="74"/>
    </row>
    <row r="10" spans="1:1023 1025:2046 2049:3072 3075:4095 4098:6144 6146:7167 7170:8190 8193:9216 9219:10239 10241:11262 11265:12288 12291:13311 13314:15360 15362:16383">
      <c r="A10" s="75"/>
      <c r="B10" s="75"/>
      <c r="C10" s="75"/>
      <c r="D10" s="75"/>
      <c r="E10" s="75"/>
      <c r="F10" s="76"/>
      <c r="G10" s="75"/>
      <c r="H10" s="68"/>
      <c r="I10" s="67"/>
    </row>
    <row r="11" spans="1:1023 1025:2046 2049:3072 3075:4095 4098:6144 6146:7167 7170:8190 8193:9216 9219:10239 10241:11262 11265:12288 12291:13311 13314:15360 15362:16383">
      <c r="A11" s="48"/>
      <c r="B11" s="48"/>
      <c r="C11" s="48"/>
      <c r="D11" s="48"/>
      <c r="E11" s="48"/>
      <c r="F11" s="65"/>
      <c r="G11" s="48"/>
      <c r="H11" s="68"/>
      <c r="I11" s="74"/>
    </row>
    <row r="12" spans="1:1023 1025:2046 2049:3072 3075:4095 4098:6144 6146:7167 7170:8190 8193:9216 9219:10239 10241:11262 11265:12288 12291:13311 13314:15360 15362:16383">
      <c r="A12" s="56"/>
      <c r="B12" s="56"/>
      <c r="C12" s="56"/>
      <c r="D12" s="56"/>
      <c r="E12" s="56"/>
      <c r="F12" s="56"/>
      <c r="G12" s="56"/>
      <c r="H12" s="68"/>
      <c r="I12" s="56"/>
    </row>
    <row r="13" spans="1:1023 1025:2046 2049:3072 3075:4095 4098:6144 6146:7167 7170:8190 8193:9216 9219:10239 10241:11262 11265:12288 12291:13311 13314:15360 15362:16383">
      <c r="A13" s="56"/>
      <c r="B13" s="56"/>
      <c r="C13" s="56"/>
      <c r="D13" s="56"/>
      <c r="E13" s="56"/>
      <c r="F13" s="56"/>
      <c r="G13" s="56"/>
      <c r="H13" s="68"/>
      <c r="I13" s="56"/>
    </row>
    <row r="14" spans="1:1023 1025:2046 2049:3072 3075:4095 4098:6144 6146:7167 7170:8190 8193:9216 9219:10239 10241:11262 11265:12288 12291:13311 13314:15360 15362:16383">
      <c r="A14" s="56"/>
      <c r="B14" s="56"/>
      <c r="C14" s="56"/>
      <c r="D14" s="56"/>
      <c r="E14" s="56"/>
      <c r="F14" s="56"/>
      <c r="G14" s="56"/>
      <c r="H14" s="68"/>
      <c r="I14" s="56"/>
    </row>
    <row r="15" spans="1:1023 1025:2046 2049:3072 3075:4095 4098:6144 6146:7167 7170:8190 8193:9216 9219:10239 10241:11262 11265:12288 12291:13311 13314:15360 15362:16383">
      <c r="A15" s="56"/>
      <c r="B15" s="56"/>
      <c r="C15" s="56"/>
      <c r="D15" s="56"/>
      <c r="E15" s="56"/>
      <c r="F15" s="56"/>
      <c r="G15" s="56"/>
      <c r="H15" s="68"/>
      <c r="I15" s="56"/>
    </row>
    <row r="16" spans="1:1023 1025:2046 2049:3072 3075:4095 4098:6144 6146:7167 7170:8190 8193:9216 9219:10239 10241:11262 11265:12288 12291:13311 13314:15360 15362:16383">
      <c r="A16" s="56"/>
      <c r="B16" s="56"/>
      <c r="C16" s="56"/>
      <c r="D16" s="56"/>
      <c r="E16" s="56"/>
      <c r="F16" s="56"/>
      <c r="G16" s="56"/>
      <c r="H16" s="68"/>
      <c r="I16" s="56"/>
    </row>
    <row r="17" spans="1:9">
      <c r="A17" s="56"/>
      <c r="B17" s="56"/>
      <c r="C17" s="56"/>
      <c r="D17" s="56"/>
      <c r="E17" s="56"/>
      <c r="F17" s="56"/>
      <c r="G17" s="56"/>
      <c r="H17" s="68"/>
      <c r="I17" s="56"/>
    </row>
    <row r="18" spans="1:9">
      <c r="A18" s="56"/>
      <c r="B18" s="56"/>
      <c r="C18" s="56"/>
      <c r="D18" s="56"/>
      <c r="E18" s="56"/>
      <c r="F18" s="56"/>
      <c r="G18" s="56"/>
      <c r="H18" s="68"/>
      <c r="I18" s="56"/>
    </row>
    <row r="19" spans="1:9">
      <c r="A19" s="56"/>
      <c r="B19" s="56"/>
      <c r="C19" s="56"/>
      <c r="D19" s="56"/>
      <c r="E19" s="56"/>
      <c r="F19" s="56"/>
      <c r="G19" s="56"/>
      <c r="H19" s="68"/>
      <c r="I19" s="56"/>
    </row>
    <row r="20" spans="1:9">
      <c r="A20" s="56"/>
      <c r="B20" s="56"/>
      <c r="C20" s="56"/>
      <c r="D20" s="56"/>
      <c r="E20" s="56"/>
      <c r="F20" s="56"/>
      <c r="G20" s="56"/>
      <c r="H20" s="68"/>
      <c r="I20" s="56"/>
    </row>
    <row r="21" spans="1:9">
      <c r="A21" s="56"/>
      <c r="B21" s="56"/>
      <c r="C21" s="56"/>
      <c r="D21" s="56"/>
      <c r="E21" s="56"/>
      <c r="F21" s="56"/>
      <c r="G21" s="56"/>
      <c r="H21" s="68"/>
      <c r="I21" s="56"/>
    </row>
    <row r="22" spans="1:9">
      <c r="A22" s="56"/>
      <c r="B22" s="56"/>
      <c r="C22" s="56"/>
      <c r="D22" s="56"/>
      <c r="E22" s="56"/>
      <c r="F22" s="56"/>
      <c r="G22" s="56"/>
      <c r="H22" s="68"/>
      <c r="I22" s="56"/>
    </row>
    <row r="23" spans="1:9">
      <c r="A23" s="56"/>
      <c r="B23" s="56"/>
      <c r="C23" s="56"/>
      <c r="D23" s="56"/>
      <c r="E23" s="56"/>
      <c r="F23" s="56"/>
      <c r="G23" s="56"/>
      <c r="H23" s="68"/>
      <c r="I23" s="56"/>
    </row>
    <row r="24" spans="1:9">
      <c r="A24" s="56"/>
      <c r="B24" s="56"/>
      <c r="C24" s="56"/>
      <c r="D24" s="56"/>
      <c r="E24" s="56"/>
      <c r="F24" s="56"/>
      <c r="G24" s="56"/>
      <c r="H24" s="68"/>
      <c r="I24" s="56"/>
    </row>
    <row r="25" spans="1:9">
      <c r="A25" s="56"/>
      <c r="B25" s="56"/>
      <c r="C25" s="56"/>
      <c r="D25" s="56"/>
      <c r="E25" s="56"/>
      <c r="F25" s="56"/>
      <c r="G25" s="56"/>
      <c r="H25" s="68"/>
      <c r="I25" s="56"/>
    </row>
    <row r="26" spans="1:9">
      <c r="A26" s="56"/>
      <c r="B26" s="56"/>
      <c r="C26" s="56"/>
      <c r="D26" s="56"/>
      <c r="E26" s="56"/>
      <c r="F26" s="56"/>
      <c r="G26" s="56"/>
      <c r="H26" s="68"/>
      <c r="I26" s="56"/>
    </row>
    <row r="27" spans="1:9">
      <c r="A27" s="56"/>
      <c r="B27" s="56"/>
      <c r="C27" s="56"/>
      <c r="D27" s="56"/>
      <c r="E27" s="56"/>
      <c r="F27" s="56"/>
      <c r="G27" s="56"/>
      <c r="H27" s="68"/>
      <c r="I27" s="56"/>
    </row>
    <row r="28" spans="1:9">
      <c r="A28" s="56"/>
      <c r="B28" s="56"/>
      <c r="C28" s="56"/>
      <c r="D28" s="56"/>
      <c r="E28" s="56"/>
      <c r="F28" s="56"/>
      <c r="G28" s="56"/>
      <c r="H28" s="68"/>
      <c r="I28" s="56"/>
    </row>
    <row r="29" spans="1:9">
      <c r="A29" s="56"/>
      <c r="B29" s="56"/>
      <c r="C29" s="56"/>
      <c r="D29" s="56"/>
      <c r="E29" s="56"/>
      <c r="F29" s="56"/>
      <c r="G29" s="56"/>
      <c r="H29" s="68"/>
      <c r="I29" s="56"/>
    </row>
    <row r="30" spans="1:9">
      <c r="A30" s="56"/>
      <c r="B30" s="56"/>
      <c r="C30" s="56"/>
      <c r="D30" s="56"/>
      <c r="E30" s="56"/>
      <c r="F30" s="56"/>
      <c r="G30" s="56"/>
      <c r="H30" s="68"/>
      <c r="I30" s="56"/>
    </row>
    <row r="31" spans="1:9">
      <c r="A31" s="56"/>
      <c r="B31" s="56"/>
      <c r="C31" s="56"/>
      <c r="D31" s="56"/>
      <c r="E31" s="56"/>
      <c r="F31" s="56"/>
      <c r="G31" s="56"/>
      <c r="H31" s="68"/>
      <c r="I31" s="56"/>
    </row>
    <row r="32" spans="1:9">
      <c r="A32" s="56"/>
      <c r="B32" s="56"/>
      <c r="C32" s="56"/>
      <c r="D32" s="56"/>
      <c r="E32" s="56"/>
      <c r="F32" s="56"/>
      <c r="G32" s="56"/>
      <c r="H32" s="68"/>
      <c r="I32" s="56"/>
    </row>
  </sheetData>
  <mergeCells count="1">
    <mergeCell ref="A1:I1"/>
  </mergeCells>
  <phoneticPr fontId="4" type="noConversion"/>
  <dataValidations count="2">
    <dataValidation type="list" allowBlank="1" showInputMessage="1" showErrorMessage="1" sqref="H1:H1048576">
      <formula1>"Patched, Justified, Risk Accepted, N/A"</formula1>
    </dataValidation>
    <dataValidation type="whole" allowBlank="1" showInputMessage="1" showErrorMessage="1" sqref="C12:F32">
      <formula1>0</formula1>
      <formula2>999999</formula2>
    </dataValidation>
  </dataValidations>
  <pageMargins left="0.7" right="0.7" top="0.75" bottom="0.75" header="0.3" footer="0.3"/>
  <pageSetup paperSize="9" orientation="portrait" r:id="rId1"/>
  <headerFooter>
    <oddHeader>&amp;C&amp;G</oddHeader>
    <oddFooter>&amp;C&amp;1#&amp;"맑은 고딕"&amp;6&amp;K737373태호 노 / 1621925@mobis.co.kr / 본 문서는 현대모비스의 대외비 정보자산이므로 무단 전재 및 복제할 수 없으며, 위반 시 당사 사규 및 관련 법규에 의해 제재될 수 있습니다.</oddFooter>
  </headerFooter>
  <drawing r:id="rId2"/>
  <legacyDrawing r:id="rId3"/>
  <legacyDrawingHF r:id="rId4"/>
  <oleObjects>
    <mc:AlternateContent xmlns:mc="http://schemas.openxmlformats.org/markup-compatibility/2006">
      <mc:Choice Requires="x14">
        <oleObject progId="포장기 셸 개체" dvAspect="DVASPECT_ICON" shapeId="4097" r:id="rId5">
          <objectPr defaultSize="0" autoPict="0" r:id="rId6">
            <anchor moveWithCells="1">
              <from>
                <xdr:col>8</xdr:col>
                <xdr:colOff>1133475</xdr:colOff>
                <xdr:row>2</xdr:row>
                <xdr:rowOff>1114425</xdr:rowOff>
              </from>
              <to>
                <xdr:col>8</xdr:col>
                <xdr:colOff>2171700</xdr:colOff>
                <xdr:row>2</xdr:row>
                <xdr:rowOff>1524000</xdr:rowOff>
              </to>
            </anchor>
          </objectPr>
        </oleObject>
      </mc:Choice>
      <mc:Fallback>
        <oleObject progId="포장기 셸 개체" dvAspect="DVASPECT_ICON" shapeId="4097" r:id="rId5"/>
      </mc:Fallback>
    </mc:AlternateContent>
    <mc:AlternateContent xmlns:mc="http://schemas.openxmlformats.org/markup-compatibility/2006">
      <mc:Choice Requires="x14">
        <oleObject progId="포장기 셸 개체" dvAspect="DVASPECT_ICON" shapeId="4098" r:id="rId7">
          <objectPr defaultSize="0" autoPict="0" r:id="rId8">
            <anchor moveWithCells="1">
              <from>
                <xdr:col>8</xdr:col>
                <xdr:colOff>2095500</xdr:colOff>
                <xdr:row>4</xdr:row>
                <xdr:rowOff>28575</xdr:rowOff>
              </from>
              <to>
                <xdr:col>8</xdr:col>
                <xdr:colOff>2609850</xdr:colOff>
                <xdr:row>4</xdr:row>
                <xdr:rowOff>485775</xdr:rowOff>
              </to>
            </anchor>
          </objectPr>
        </oleObject>
      </mc:Choice>
      <mc:Fallback>
        <oleObject progId="포장기 셸 개체" dvAspect="DVASPECT_ICON" shapeId="4098" r:id="rId7"/>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O1"/>
  <sheetViews>
    <sheetView zoomScaleNormal="100" workbookViewId="0">
      <selection activeCell="D4" sqref="D4"/>
    </sheetView>
  </sheetViews>
  <sheetFormatPr defaultRowHeight="16.5"/>
  <sheetData>
    <row r="1" spans="15:15"/>
  </sheetData>
  <phoneticPr fontId="4" type="noConversion"/>
  <pageMargins left="0.7" right="0.7" top="0.75" bottom="0.75" header="0.3" footer="0.3"/>
  <pageSetup paperSize="9" orientation="portrait" r:id="rId1"/>
  <headerFooter>
    <oddHeader>&amp;C&amp;G</oddHeader>
    <oddFooter>&amp;C&amp;1#&amp;"맑은 고딕"&amp;6&amp;K737373태호 노 / 1621925@mobis.co.kr / 본 문서는 현대모비스의 대외비 정보자산이므로 무단 전재 및 복제할 수 없으며, 위반 시 당사 사규 및 관련 법규에 의해 제재될 수 있습니다.</oddFooter>
  </headerFooter>
  <drawing r:id="rId2"/>
  <legacyDrawing r:id="rId3"/>
  <legacyDrawingHF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63"/>
  <sheetViews>
    <sheetView zoomScale="70" zoomScaleNormal="70" workbookViewId="0">
      <selection activeCell="D4" sqref="D4"/>
    </sheetView>
  </sheetViews>
  <sheetFormatPr defaultRowHeight="16.5"/>
  <cols>
    <col min="4" max="4" width="73.625" bestFit="1" customWidth="1"/>
    <col min="20" max="20" width="73.625" bestFit="1" customWidth="1"/>
  </cols>
  <sheetData>
    <row r="2" spans="2:4" ht="31.5">
      <c r="B2" s="77" t="s">
        <v>179</v>
      </c>
      <c r="D2" s="78" t="s">
        <v>180</v>
      </c>
    </row>
    <row r="24" spans="2:11" ht="31.5">
      <c r="B24" s="77" t="s">
        <v>181</v>
      </c>
      <c r="D24" s="79" t="s">
        <v>182</v>
      </c>
      <c r="E24" s="79"/>
      <c r="F24" s="79"/>
      <c r="G24" s="79"/>
      <c r="H24" s="79"/>
      <c r="I24" s="79"/>
      <c r="J24" s="79"/>
      <c r="K24" s="79"/>
    </row>
    <row r="63" spans="4:4">
      <c r="D63" s="80" t="s">
        <v>183</v>
      </c>
    </row>
  </sheetData>
  <mergeCells count="1">
    <mergeCell ref="D24:K24"/>
  </mergeCells>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Cover</vt:lpstr>
      <vt:lpstr>Summary (Before Fix)</vt:lpstr>
      <vt:lpstr>Summary (After Fix)</vt:lpstr>
      <vt:lpstr>Details (after applying patch)</vt:lpstr>
      <vt:lpstr>Appendix 1. Architecture</vt:lpstr>
      <vt:lpstr>Appendix 2. Test Environment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Windows 사용자</cp:lastModifiedBy>
  <dcterms:created xsi:type="dcterms:W3CDTF">2025-03-26T05:27:50Z</dcterms:created>
  <dcterms:modified xsi:type="dcterms:W3CDTF">2025-03-26T05:28:35Z</dcterms:modified>
</cp:coreProperties>
</file>