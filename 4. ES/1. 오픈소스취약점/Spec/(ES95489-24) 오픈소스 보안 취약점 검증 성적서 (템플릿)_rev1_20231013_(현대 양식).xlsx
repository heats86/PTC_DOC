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PROJECT\Gitlab\HMC\hkmc_ptc_heater\4. ES\1. 오픈소스취약점\Spec\"/>
    </mc:Choice>
  </mc:AlternateContent>
  <bookViews>
    <workbookView xWindow="0" yWindow="0" windowWidth="28800" windowHeight="12285" activeTab="2"/>
  </bookViews>
  <sheets>
    <sheet name="표지" sheetId="2" r:id="rId1"/>
    <sheet name="요약" sheetId="3" r:id="rId2"/>
    <sheet name="상세" sheetId="4" r:id="rId3"/>
  </sheets>
  <definedNames>
    <definedName name="_xlnm._FilterDatabase" localSheetId="1" hidden="1">요약!$I$2:$J$2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3" l="1"/>
  <c r="E34" i="3"/>
  <c r="D34" i="3"/>
  <c r="C34" i="3"/>
  <c r="I4" i="3"/>
  <c r="J4" i="3" s="1"/>
  <c r="G4" i="3"/>
  <c r="I3" i="3"/>
  <c r="J3" i="3" s="1"/>
  <c r="G3" i="3"/>
  <c r="G34" i="3" s="1"/>
  <c r="B12" i="2"/>
  <c r="I34" i="3" l="1"/>
  <c r="J34" i="3" s="1"/>
</calcChain>
</file>

<file path=xl/sharedStrings.xml><?xml version="1.0" encoding="utf-8"?>
<sst xmlns="http://schemas.openxmlformats.org/spreadsheetml/2006/main" count="62" uniqueCount="62">
  <si>
    <r>
      <t xml:space="preserve">오픈소스 소프트웨어 보안 검증 성적서 ( </t>
    </r>
    <r>
      <rPr>
        <b/>
        <sz val="18"/>
        <color theme="2" tint="-0.249977111117893"/>
        <rFont val="맑은 고딕"/>
        <family val="3"/>
        <charset val="129"/>
        <scheme val="minor"/>
      </rPr>
      <t>1, 2</t>
    </r>
    <r>
      <rPr>
        <b/>
        <sz val="18"/>
        <color theme="1"/>
        <rFont val="맑은 고딕"/>
        <family val="3"/>
        <charset val="129"/>
        <scheme val="minor"/>
      </rPr>
      <t xml:space="preserve"> 차)</t>
    </r>
    <phoneticPr fontId="4" type="noConversion"/>
  </si>
  <si>
    <t>프로젝트명</t>
    <phoneticPr fontId="4" type="noConversion"/>
  </si>
  <si>
    <t>제출일</t>
    <phoneticPr fontId="4" type="noConversion"/>
  </si>
  <si>
    <t xml:space="preserve">    년    월   일</t>
    <phoneticPr fontId="4" type="noConversion"/>
  </si>
  <si>
    <t>개발 부문명</t>
    <phoneticPr fontId="4" type="noConversion"/>
  </si>
  <si>
    <t>※ 업체 개발사양 : 협력업체명을 작성
※ HKMC 개발사양 : HKMC 개발 부서명(팀명)을 작성</t>
  </si>
  <si>
    <t>작성자</t>
    <phoneticPr fontId="4" type="noConversion"/>
  </si>
  <si>
    <t>※ 검증 성적서 작성자 명</t>
    <phoneticPr fontId="4" type="noConversion"/>
  </si>
  <si>
    <t>적용 차종</t>
    <phoneticPr fontId="4" type="noConversion"/>
  </si>
  <si>
    <t>※ 검증 수행한 OSS가 적용되는 차종명 작성</t>
    <phoneticPr fontId="4" type="noConversion"/>
  </si>
  <si>
    <t>사용 영역</t>
    <phoneticPr fontId="4" type="noConversion"/>
  </si>
  <si>
    <t>※ 제어기 명, 플랫폼 등 상세 사용 영역 기재
※ 펌웨어의 경우 버전 포함 기재
※ 모든 사용 영역 이름, 개발사, 해당 버전 기재</t>
    <phoneticPr fontId="4" type="noConversion"/>
  </si>
  <si>
    <t>HKMC 설계 담당</t>
    <phoneticPr fontId="4" type="noConversion"/>
  </si>
  <si>
    <t>※ 팀 및 담당자 명</t>
    <phoneticPr fontId="4" type="noConversion"/>
  </si>
  <si>
    <t>오픈소스 검증툴 명 및 버전</t>
    <phoneticPr fontId="4" type="noConversion"/>
  </si>
  <si>
    <t>※ 검증에 사용된 오픈소스 검증 도구 명 및 버전 기재
※ 실제 스캔 수행일자 기재</t>
    <phoneticPr fontId="4" type="noConversion"/>
  </si>
  <si>
    <t>검증 대상 오픈소스 항목</t>
    <phoneticPr fontId="4" type="noConversion"/>
  </si>
  <si>
    <t>※ 프로젝트에 사용된 전체 오픈소스 개수</t>
    <phoneticPr fontId="4" type="noConversion"/>
  </si>
  <si>
    <t>첨부</t>
    <phoneticPr fontId="4" type="noConversion"/>
  </si>
  <si>
    <t>※ 검증툴 수행 결과물(Raw data) 첨부</t>
    <phoneticPr fontId="4" type="noConversion"/>
  </si>
  <si>
    <t>고위험군 취약점</t>
    <phoneticPr fontId="4" type="noConversion"/>
  </si>
  <si>
    <t>※ HIGH 또는 CRITICAL 위험도 취약점 개수 총합</t>
    <phoneticPr fontId="4" type="noConversion"/>
  </si>
  <si>
    <t>종합 결과</t>
    <phoneticPr fontId="4" type="noConversion"/>
  </si>
  <si>
    <t>OK / NG</t>
    <phoneticPr fontId="4" type="noConversion"/>
  </si>
  <si>
    <t>Revision History</t>
    <phoneticPr fontId="9" type="noConversion"/>
  </si>
  <si>
    <t>Rev.</t>
    <phoneticPr fontId="9" type="noConversion"/>
  </si>
  <si>
    <t>Date</t>
    <phoneticPr fontId="9" type="noConversion"/>
  </si>
  <si>
    <t>Author</t>
    <phoneticPr fontId="9" type="noConversion"/>
  </si>
  <si>
    <t>Description</t>
    <phoneticPr fontId="9" type="noConversion"/>
  </si>
  <si>
    <t>Reviewer</t>
    <phoneticPr fontId="9" type="noConversion"/>
  </si>
  <si>
    <t>협력사 담당자</t>
    <phoneticPr fontId="4" type="noConversion"/>
  </si>
  <si>
    <t>First Draft</t>
    <phoneticPr fontId="4" type="noConversion"/>
  </si>
  <si>
    <t>작성자 소속장</t>
    <phoneticPr fontId="4" type="noConversion"/>
  </si>
  <si>
    <t>취약점 분석 결과 (요약)</t>
    <phoneticPr fontId="4" type="noConversion"/>
  </si>
  <si>
    <t>종류</t>
    <phoneticPr fontId="4" type="noConversion"/>
  </si>
  <si>
    <t>버전</t>
    <phoneticPr fontId="4" type="noConversion"/>
  </si>
  <si>
    <t>LOW</t>
    <phoneticPr fontId="4" type="noConversion"/>
  </si>
  <si>
    <t>MEDIUM</t>
    <phoneticPr fontId="4" type="noConversion"/>
  </si>
  <si>
    <t>HIGH</t>
    <phoneticPr fontId="4" type="noConversion"/>
  </si>
  <si>
    <t>CRITICAL</t>
    <phoneticPr fontId="4" type="noConversion"/>
  </si>
  <si>
    <t>총합</t>
    <phoneticPr fontId="4" type="noConversion"/>
  </si>
  <si>
    <t>고위험군
(HIGH/CRITICAL)</t>
    <phoneticPr fontId="4" type="noConversion"/>
  </si>
  <si>
    <t>Pass / Fail</t>
    <phoneticPr fontId="4" type="noConversion"/>
  </si>
  <si>
    <t>ex) Bash</t>
    <phoneticPr fontId="4" type="noConversion"/>
  </si>
  <si>
    <t>4.4.12</t>
    <phoneticPr fontId="4" type="noConversion"/>
  </si>
  <si>
    <t>ex) BlueZ</t>
    <phoneticPr fontId="4" type="noConversion"/>
  </si>
  <si>
    <t>합계</t>
    <phoneticPr fontId="4" type="noConversion"/>
  </si>
  <si>
    <t>검출 취약점 (상세)</t>
    <phoneticPr fontId="4" type="noConversion"/>
  </si>
  <si>
    <t>종류</t>
    <phoneticPr fontId="4" type="noConversion"/>
  </si>
  <si>
    <t>버전</t>
    <phoneticPr fontId="4" type="noConversion"/>
  </si>
  <si>
    <t>CVE ID</t>
    <phoneticPr fontId="4" type="noConversion"/>
  </si>
  <si>
    <t>CVSS v3 Base Score</t>
    <phoneticPr fontId="4" type="noConversion"/>
  </si>
  <si>
    <t>Security Risk</t>
    <phoneticPr fontId="4" type="noConversion"/>
  </si>
  <si>
    <t>Description</t>
    <phoneticPr fontId="4" type="noConversion"/>
  </si>
  <si>
    <t>URL</t>
    <phoneticPr fontId="4" type="noConversion"/>
  </si>
  <si>
    <t>comment</t>
    <phoneticPr fontId="4" type="noConversion"/>
  </si>
  <si>
    <t>ex) Bash</t>
    <phoneticPr fontId="4" type="noConversion"/>
  </si>
  <si>
    <t>4.4.12</t>
    <phoneticPr fontId="4" type="noConversion"/>
  </si>
  <si>
    <t>CVE-2016-0634</t>
    <phoneticPr fontId="4" type="noConversion"/>
  </si>
  <si>
    <t>HIGH</t>
    <phoneticPr fontId="4" type="noConversion"/>
  </si>
  <si>
    <t>The expansion of '\h' in the prompt string in bash 4.3 allows remote authenticated users to execute arbitrary code via shell metacharacters placed in 'hostname' of a machine.</t>
    <phoneticPr fontId="4" type="noConversion"/>
  </si>
  <si>
    <t>https://nvd.nist.gov/vuln/detail/CVE-2016-0634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</si>
</sst>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2" tint="-0.24997711111789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2" tint="-0.249977111117893"/>
      <name val="맑은 고딕"/>
      <family val="2"/>
      <charset val="129"/>
      <scheme val="minor"/>
    </font>
    <font>
      <sz val="11"/>
      <color theme="2" tint="-0.249977111117893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2" tint="-0.249977111117893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5" fillId="3" borderId="12" xfId="0" applyFont="1" applyFill="1" applyBorder="1" applyAlignment="1">
      <alignment horizontal="center" vertical="center"/>
    </xf>
    <xf numFmtId="0" fontId="6" fillId="0" borderId="13" xfId="0" applyFont="1" applyBorder="1">
      <alignment vertical="center"/>
    </xf>
    <xf numFmtId="0" fontId="6" fillId="0" borderId="13" xfId="0" applyFont="1" applyBorder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8" fillId="0" borderId="14" xfId="0" applyFont="1" applyBorder="1">
      <alignment vertical="center"/>
    </xf>
    <xf numFmtId="0" fontId="5" fillId="3" borderId="15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5" fillId="4" borderId="18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1" fillId="0" borderId="0" xfId="1">
      <alignment vertical="center"/>
    </xf>
    <xf numFmtId="0" fontId="2" fillId="2" borderId="20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14" fontId="6" fillId="0" borderId="12" xfId="1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9" xfId="1" applyBorder="1">
      <alignment vertical="center"/>
    </xf>
    <xf numFmtId="0" fontId="1" fillId="0" borderId="12" xfId="1" applyBorder="1">
      <alignment vertical="center"/>
    </xf>
    <xf numFmtId="0" fontId="1" fillId="0" borderId="13" xfId="1" applyBorder="1">
      <alignment vertical="center"/>
    </xf>
    <xf numFmtId="0" fontId="1" fillId="0" borderId="15" xfId="1" applyBorder="1">
      <alignment vertical="center"/>
    </xf>
    <xf numFmtId="0" fontId="1" fillId="0" borderId="18" xfId="1" applyBorder="1">
      <alignment vertical="center"/>
    </xf>
    <xf numFmtId="0" fontId="1" fillId="0" borderId="19" xfId="1" applyBorder="1">
      <alignment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23" xfId="0" applyFont="1" applyFill="1" applyBorder="1" applyAlignment="1">
      <alignment horizontal="center" vertical="center" wrapText="1"/>
    </xf>
    <xf numFmtId="0" fontId="6" fillId="0" borderId="26" xfId="0" applyFont="1" applyBorder="1">
      <alignment vertical="center"/>
    </xf>
    <xf numFmtId="0" fontId="7" fillId="0" borderId="0" xfId="0" applyFont="1">
      <alignment vertical="center"/>
    </xf>
    <xf numFmtId="0" fontId="6" fillId="0" borderId="26" xfId="0" applyFont="1" applyBorder="1" applyAlignment="1">
      <alignment horizontal="center" vertical="center"/>
    </xf>
    <xf numFmtId="0" fontId="7" fillId="0" borderId="12" xfId="0" applyFont="1" applyBorder="1">
      <alignment vertical="center"/>
    </xf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10" fillId="0" borderId="12" xfId="0" applyFont="1" applyBorder="1">
      <alignment vertical="center"/>
    </xf>
    <xf numFmtId="0" fontId="11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 wrapText="1"/>
    </xf>
    <xf numFmtId="0" fontId="13" fillId="0" borderId="26" xfId="2" applyFont="1" applyBorder="1" applyAlignment="1">
      <alignment horizontal="left" vertical="center" wrapText="1"/>
    </xf>
    <xf numFmtId="0" fontId="0" fillId="0" borderId="26" xfId="0" applyBorder="1">
      <alignment vertical="center"/>
    </xf>
  </cellXfs>
  <cellStyles count="3">
    <cellStyle name="표준" xfId="0" builtinId="0"/>
    <cellStyle name="표준 2" xfId="1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vd.nist.gov/vuln/detail/CVE-2016-06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zoomScale="85" zoomScaleNormal="85" workbookViewId="0">
      <selection activeCell="M7" sqref="M7"/>
    </sheetView>
  </sheetViews>
  <sheetFormatPr defaultRowHeight="16.5" x14ac:dyDescent="0.3"/>
  <cols>
    <col min="1" max="1" width="26.25" bestFit="1" customWidth="1"/>
    <col min="2" max="2" width="20.125" customWidth="1"/>
    <col min="3" max="3" width="31.875" customWidth="1"/>
    <col min="4" max="4" width="27.375" customWidth="1"/>
    <col min="5" max="5" width="43.875" customWidth="1"/>
  </cols>
  <sheetData>
    <row r="1" spans="1:6" ht="42" customHeight="1" thickBot="1" x14ac:dyDescent="0.35">
      <c r="A1" s="1" t="s">
        <v>0</v>
      </c>
      <c r="B1" s="2"/>
      <c r="C1" s="2"/>
      <c r="D1" s="2"/>
      <c r="E1" s="3"/>
    </row>
    <row r="2" spans="1:6" ht="56.25" customHeight="1" x14ac:dyDescent="0.3">
      <c r="A2" s="4" t="s">
        <v>1</v>
      </c>
      <c r="B2" s="5"/>
      <c r="C2" s="6"/>
      <c r="D2" s="7" t="s">
        <v>2</v>
      </c>
      <c r="E2" s="8" t="s">
        <v>3</v>
      </c>
    </row>
    <row r="3" spans="1:6" ht="56.25" customHeight="1" x14ac:dyDescent="0.3">
      <c r="A3" s="9" t="s">
        <v>4</v>
      </c>
      <c r="B3" s="10" t="s">
        <v>5</v>
      </c>
      <c r="C3" s="11"/>
      <c r="D3" s="12" t="s">
        <v>6</v>
      </c>
      <c r="E3" s="13" t="s">
        <v>7</v>
      </c>
    </row>
    <row r="4" spans="1:6" ht="56.25" customHeight="1" x14ac:dyDescent="0.3">
      <c r="A4" s="9" t="s">
        <v>8</v>
      </c>
      <c r="B4" s="10" t="s">
        <v>9</v>
      </c>
      <c r="C4" s="11"/>
      <c r="D4" s="12" t="s">
        <v>10</v>
      </c>
      <c r="E4" s="14" t="s">
        <v>11</v>
      </c>
    </row>
    <row r="5" spans="1:6" ht="56.25" customHeight="1" x14ac:dyDescent="0.3">
      <c r="A5" s="9" t="s">
        <v>12</v>
      </c>
      <c r="B5" s="15" t="s">
        <v>13</v>
      </c>
      <c r="C5" s="15"/>
      <c r="D5" s="16"/>
      <c r="E5" s="17"/>
    </row>
    <row r="6" spans="1:6" ht="56.25" customHeight="1" x14ac:dyDescent="0.3">
      <c r="A6" s="9" t="s">
        <v>14</v>
      </c>
      <c r="B6" s="15" t="s">
        <v>15</v>
      </c>
      <c r="C6" s="15"/>
      <c r="D6" s="15"/>
      <c r="E6" s="18"/>
    </row>
    <row r="7" spans="1:6" ht="56.25" customHeight="1" x14ac:dyDescent="0.3">
      <c r="A7" s="9" t="s">
        <v>16</v>
      </c>
      <c r="B7" s="10" t="s">
        <v>17</v>
      </c>
      <c r="C7" s="11"/>
      <c r="D7" s="12" t="s">
        <v>18</v>
      </c>
      <c r="E7" s="19" t="s">
        <v>19</v>
      </c>
    </row>
    <row r="8" spans="1:6" ht="56.25" customHeight="1" thickBot="1" x14ac:dyDescent="0.35">
      <c r="A8" s="20" t="s">
        <v>20</v>
      </c>
      <c r="B8" s="21" t="s">
        <v>21</v>
      </c>
      <c r="C8" s="22"/>
      <c r="D8" s="23" t="s">
        <v>22</v>
      </c>
      <c r="E8" s="24" t="s">
        <v>23</v>
      </c>
    </row>
    <row r="9" spans="1:6" ht="17.25" thickBot="1" x14ac:dyDescent="0.35">
      <c r="A9" s="25"/>
      <c r="B9" s="25"/>
      <c r="C9" s="25"/>
      <c r="D9" s="25"/>
      <c r="E9" s="25"/>
      <c r="F9" s="25"/>
    </row>
    <row r="10" spans="1:6" ht="31.5" customHeight="1" x14ac:dyDescent="0.3">
      <c r="A10" s="26" t="s">
        <v>24</v>
      </c>
      <c r="B10" s="27"/>
      <c r="C10" s="27"/>
      <c r="D10" s="27"/>
      <c r="E10" s="28"/>
      <c r="F10" s="25"/>
    </row>
    <row r="11" spans="1:6" ht="24.75" customHeight="1" x14ac:dyDescent="0.3">
      <c r="A11" s="29" t="s">
        <v>25</v>
      </c>
      <c r="B11" s="30" t="s">
        <v>26</v>
      </c>
      <c r="C11" s="30" t="s">
        <v>27</v>
      </c>
      <c r="D11" s="30" t="s">
        <v>28</v>
      </c>
      <c r="E11" s="31" t="s">
        <v>29</v>
      </c>
      <c r="F11" s="25"/>
    </row>
    <row r="12" spans="1:6" x14ac:dyDescent="0.3">
      <c r="A12" s="32">
        <v>0.01</v>
      </c>
      <c r="B12" s="33">
        <f ca="1">TODAY()</f>
        <v>45742</v>
      </c>
      <c r="C12" s="34" t="s">
        <v>30</v>
      </c>
      <c r="D12" s="34" t="s">
        <v>31</v>
      </c>
      <c r="E12" s="35" t="s">
        <v>32</v>
      </c>
      <c r="F12" s="25"/>
    </row>
    <row r="13" spans="1:6" x14ac:dyDescent="0.3">
      <c r="A13" s="36"/>
      <c r="B13" s="37"/>
      <c r="C13" s="37"/>
      <c r="D13" s="37"/>
      <c r="E13" s="38"/>
      <c r="F13" s="25"/>
    </row>
    <row r="14" spans="1:6" x14ac:dyDescent="0.3">
      <c r="A14" s="36"/>
      <c r="B14" s="37"/>
      <c r="C14" s="37"/>
      <c r="D14" s="37"/>
      <c r="E14" s="38"/>
      <c r="F14" s="25"/>
    </row>
    <row r="15" spans="1:6" x14ac:dyDescent="0.3">
      <c r="A15" s="36"/>
      <c r="B15" s="37"/>
      <c r="C15" s="37"/>
      <c r="D15" s="37"/>
      <c r="E15" s="38"/>
      <c r="F15" s="25"/>
    </row>
    <row r="16" spans="1:6" x14ac:dyDescent="0.3">
      <c r="A16" s="36"/>
      <c r="B16" s="37"/>
      <c r="C16" s="37"/>
      <c r="D16" s="37"/>
      <c r="E16" s="38"/>
      <c r="F16" s="25"/>
    </row>
    <row r="17" spans="1:6" x14ac:dyDescent="0.3">
      <c r="A17" s="36"/>
      <c r="B17" s="37"/>
      <c r="C17" s="37"/>
      <c r="D17" s="37"/>
      <c r="E17" s="38"/>
      <c r="F17" s="25"/>
    </row>
    <row r="18" spans="1:6" x14ac:dyDescent="0.3">
      <c r="A18" s="36"/>
      <c r="B18" s="37"/>
      <c r="C18" s="37"/>
      <c r="D18" s="37"/>
      <c r="E18" s="38"/>
      <c r="F18" s="25"/>
    </row>
    <row r="19" spans="1:6" x14ac:dyDescent="0.3">
      <c r="A19" s="39"/>
      <c r="B19" s="40"/>
      <c r="C19" s="40"/>
      <c r="D19" s="40"/>
      <c r="E19" s="41"/>
      <c r="F19" s="25"/>
    </row>
    <row r="20" spans="1:6" x14ac:dyDescent="0.3">
      <c r="A20" s="39"/>
      <c r="B20" s="40"/>
      <c r="C20" s="40"/>
      <c r="D20" s="40"/>
      <c r="E20" s="41"/>
      <c r="F20" s="25"/>
    </row>
    <row r="21" spans="1:6" x14ac:dyDescent="0.3">
      <c r="A21" s="39"/>
      <c r="B21" s="40"/>
      <c r="C21" s="40"/>
      <c r="D21" s="40"/>
      <c r="E21" s="41"/>
      <c r="F21" s="25"/>
    </row>
    <row r="22" spans="1:6" x14ac:dyDescent="0.3">
      <c r="A22" s="39"/>
      <c r="B22" s="40"/>
      <c r="C22" s="40"/>
      <c r="D22" s="40"/>
      <c r="E22" s="41"/>
      <c r="F22" s="25"/>
    </row>
    <row r="23" spans="1:6" ht="17.25" thickBot="1" x14ac:dyDescent="0.35">
      <c r="A23" s="42"/>
      <c r="B23" s="43"/>
      <c r="C23" s="43"/>
      <c r="D23" s="43"/>
      <c r="E23" s="44"/>
      <c r="F23" s="25"/>
    </row>
    <row r="24" spans="1:6" x14ac:dyDescent="0.3">
      <c r="A24" s="25"/>
      <c r="B24" s="25"/>
      <c r="C24" s="25"/>
      <c r="D24" s="25"/>
      <c r="E24" s="25"/>
      <c r="F24" s="25"/>
    </row>
  </sheetData>
  <mergeCells count="9">
    <mergeCell ref="B7:C7"/>
    <mergeCell ref="B8:C8"/>
    <mergeCell ref="A10:E10"/>
    <mergeCell ref="A1:E1"/>
    <mergeCell ref="B2:C2"/>
    <mergeCell ref="B3:C3"/>
    <mergeCell ref="B4:C4"/>
    <mergeCell ref="B5:E5"/>
    <mergeCell ref="B6:E6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M7" sqref="M7"/>
    </sheetView>
  </sheetViews>
  <sheetFormatPr defaultRowHeight="16.5" x14ac:dyDescent="0.3"/>
  <cols>
    <col min="1" max="1" width="21.625" bestFit="1" customWidth="1"/>
    <col min="8" max="8" width="2" customWidth="1"/>
    <col min="9" max="9" width="16.5" bestFit="1" customWidth="1"/>
    <col min="10" max="10" width="11.375" style="62" customWidth="1"/>
  </cols>
  <sheetData>
    <row r="1" spans="1:10" ht="47.25" customHeight="1" thickBot="1" x14ac:dyDescent="0.35">
      <c r="A1" s="1" t="s">
        <v>33</v>
      </c>
      <c r="B1" s="2"/>
      <c r="C1" s="2"/>
      <c r="D1" s="2"/>
      <c r="E1" s="2"/>
      <c r="F1" s="2"/>
      <c r="G1" s="2"/>
      <c r="H1" s="2"/>
      <c r="I1" s="2"/>
      <c r="J1" s="3"/>
    </row>
    <row r="2" spans="1:10" ht="33.75" thickBot="1" x14ac:dyDescent="0.35">
      <c r="A2" s="45" t="s">
        <v>34</v>
      </c>
      <c r="B2" s="46" t="s">
        <v>35</v>
      </c>
      <c r="C2" s="46" t="s">
        <v>36</v>
      </c>
      <c r="D2" s="46" t="s">
        <v>37</v>
      </c>
      <c r="E2" s="46" t="s">
        <v>38</v>
      </c>
      <c r="F2" s="46" t="s">
        <v>39</v>
      </c>
      <c r="G2" s="47" t="s">
        <v>40</v>
      </c>
      <c r="H2" s="48"/>
      <c r="I2" s="49" t="s">
        <v>41</v>
      </c>
      <c r="J2" s="47" t="s">
        <v>42</v>
      </c>
    </row>
    <row r="3" spans="1:10" x14ac:dyDescent="0.3">
      <c r="A3" s="50" t="s">
        <v>43</v>
      </c>
      <c r="B3" s="50" t="s">
        <v>44</v>
      </c>
      <c r="C3" s="50">
        <v>0</v>
      </c>
      <c r="D3" s="50">
        <v>0</v>
      </c>
      <c r="E3" s="50">
        <v>2</v>
      </c>
      <c r="F3" s="50">
        <v>0</v>
      </c>
      <c r="G3" s="50">
        <f>SUM(C3:F3)</f>
        <v>2</v>
      </c>
      <c r="H3" s="51"/>
      <c r="I3" s="50">
        <f>E3+F3</f>
        <v>2</v>
      </c>
      <c r="J3" s="52" t="str">
        <f>IF(I3&gt;0, "Fail", IF(I3=0,"Pass",""))</f>
        <v>Fail</v>
      </c>
    </row>
    <row r="4" spans="1:10" x14ac:dyDescent="0.3">
      <c r="A4" s="53" t="s">
        <v>45</v>
      </c>
      <c r="B4" s="54">
        <v>5.48</v>
      </c>
      <c r="C4" s="53">
        <v>0</v>
      </c>
      <c r="D4" s="53">
        <v>0</v>
      </c>
      <c r="E4" s="53">
        <v>0</v>
      </c>
      <c r="F4" s="53">
        <v>0</v>
      </c>
      <c r="G4" s="53">
        <f>SUM(C4:F4)</f>
        <v>0</v>
      </c>
      <c r="H4" s="51"/>
      <c r="I4" s="53">
        <f>E4+F4</f>
        <v>0</v>
      </c>
      <c r="J4" s="55" t="str">
        <f>IF(I4&gt;0, "Fail", IF(I4=0,"Pass",""))</f>
        <v>Pass</v>
      </c>
    </row>
    <row r="5" spans="1:10" x14ac:dyDescent="0.3">
      <c r="A5" s="56"/>
      <c r="B5" s="56"/>
      <c r="C5" s="56"/>
      <c r="D5" s="56"/>
      <c r="E5" s="56"/>
      <c r="F5" s="56"/>
      <c r="G5" s="56"/>
      <c r="I5" s="56"/>
      <c r="J5" s="57"/>
    </row>
    <row r="6" spans="1:10" x14ac:dyDescent="0.3">
      <c r="A6" s="56"/>
      <c r="B6" s="56"/>
      <c r="C6" s="56"/>
      <c r="D6" s="56"/>
      <c r="E6" s="56"/>
      <c r="F6" s="56"/>
      <c r="G6" s="56"/>
      <c r="I6" s="56"/>
      <c r="J6" s="57"/>
    </row>
    <row r="7" spans="1:10" x14ac:dyDescent="0.3">
      <c r="A7" s="56"/>
      <c r="B7" s="56"/>
      <c r="C7" s="56"/>
      <c r="D7" s="56"/>
      <c r="E7" s="56"/>
      <c r="F7" s="56"/>
      <c r="G7" s="56"/>
      <c r="I7" s="56"/>
      <c r="J7" s="57"/>
    </row>
    <row r="8" spans="1:10" x14ac:dyDescent="0.3">
      <c r="A8" s="56"/>
      <c r="B8" s="56"/>
      <c r="C8" s="56"/>
      <c r="D8" s="56"/>
      <c r="E8" s="56"/>
      <c r="F8" s="56"/>
      <c r="G8" s="56"/>
      <c r="I8" s="56"/>
      <c r="J8" s="57"/>
    </row>
    <row r="9" spans="1:10" x14ac:dyDescent="0.3">
      <c r="A9" s="56"/>
      <c r="B9" s="56"/>
      <c r="C9" s="56"/>
      <c r="D9" s="56"/>
      <c r="E9" s="56"/>
      <c r="F9" s="56"/>
      <c r="G9" s="56"/>
      <c r="I9" s="56"/>
      <c r="J9" s="57"/>
    </row>
    <row r="10" spans="1:10" x14ac:dyDescent="0.3">
      <c r="A10" s="56"/>
      <c r="B10" s="56"/>
      <c r="C10" s="56"/>
      <c r="D10" s="56"/>
      <c r="E10" s="56"/>
      <c r="F10" s="56"/>
      <c r="G10" s="56"/>
      <c r="I10" s="56"/>
      <c r="J10" s="57"/>
    </row>
    <row r="11" spans="1:10" x14ac:dyDescent="0.3">
      <c r="A11" s="56"/>
      <c r="B11" s="56"/>
      <c r="C11" s="56"/>
      <c r="D11" s="56"/>
      <c r="E11" s="56"/>
      <c r="F11" s="56"/>
      <c r="G11" s="56"/>
      <c r="I11" s="56"/>
      <c r="J11" s="57"/>
    </row>
    <row r="12" spans="1:10" x14ac:dyDescent="0.3">
      <c r="A12" s="56"/>
      <c r="B12" s="56"/>
      <c r="C12" s="56"/>
      <c r="D12" s="56"/>
      <c r="E12" s="56"/>
      <c r="F12" s="56"/>
      <c r="G12" s="56"/>
      <c r="I12" s="56"/>
      <c r="J12" s="57"/>
    </row>
    <row r="13" spans="1:10" x14ac:dyDescent="0.3">
      <c r="A13" s="56"/>
      <c r="B13" s="56"/>
      <c r="C13" s="56"/>
      <c r="D13" s="56"/>
      <c r="E13" s="56"/>
      <c r="F13" s="56"/>
      <c r="G13" s="56"/>
      <c r="I13" s="56"/>
      <c r="J13" s="57"/>
    </row>
    <row r="14" spans="1:10" x14ac:dyDescent="0.3">
      <c r="A14" s="56"/>
      <c r="B14" s="56"/>
      <c r="C14" s="56"/>
      <c r="D14" s="56"/>
      <c r="E14" s="56"/>
      <c r="F14" s="56"/>
      <c r="G14" s="56"/>
      <c r="I14" s="56"/>
      <c r="J14" s="57"/>
    </row>
    <row r="15" spans="1:10" x14ac:dyDescent="0.3">
      <c r="A15" s="56"/>
      <c r="B15" s="56"/>
      <c r="C15" s="56"/>
      <c r="D15" s="56"/>
      <c r="E15" s="56"/>
      <c r="F15" s="56"/>
      <c r="G15" s="56"/>
      <c r="I15" s="56"/>
      <c r="J15" s="57"/>
    </row>
    <row r="16" spans="1:10" x14ac:dyDescent="0.3">
      <c r="A16" s="56"/>
      <c r="B16" s="56"/>
      <c r="C16" s="56"/>
      <c r="D16" s="56"/>
      <c r="E16" s="56"/>
      <c r="F16" s="56"/>
      <c r="G16" s="56"/>
      <c r="I16" s="56"/>
      <c r="J16" s="57"/>
    </row>
    <row r="17" spans="1:10" x14ac:dyDescent="0.3">
      <c r="A17" s="56"/>
      <c r="B17" s="56"/>
      <c r="C17" s="56"/>
      <c r="D17" s="56"/>
      <c r="E17" s="56"/>
      <c r="F17" s="56"/>
      <c r="G17" s="56"/>
      <c r="I17" s="56"/>
      <c r="J17" s="57"/>
    </row>
    <row r="18" spans="1:10" x14ac:dyDescent="0.3">
      <c r="A18" s="56"/>
      <c r="B18" s="56"/>
      <c r="C18" s="56"/>
      <c r="D18" s="56"/>
      <c r="E18" s="56"/>
      <c r="F18" s="56"/>
      <c r="G18" s="56"/>
      <c r="I18" s="56"/>
      <c r="J18" s="57"/>
    </row>
    <row r="19" spans="1:10" x14ac:dyDescent="0.3">
      <c r="A19" s="56"/>
      <c r="B19" s="56"/>
      <c r="C19" s="56"/>
      <c r="D19" s="56"/>
      <c r="E19" s="56"/>
      <c r="F19" s="56"/>
      <c r="G19" s="56"/>
      <c r="I19" s="56"/>
      <c r="J19" s="57"/>
    </row>
    <row r="20" spans="1:10" x14ac:dyDescent="0.3">
      <c r="A20" s="56"/>
      <c r="B20" s="56"/>
      <c r="C20" s="56"/>
      <c r="D20" s="56"/>
      <c r="E20" s="56"/>
      <c r="F20" s="56"/>
      <c r="G20" s="56"/>
      <c r="I20" s="56"/>
      <c r="J20" s="57"/>
    </row>
    <row r="21" spans="1:10" x14ac:dyDescent="0.3">
      <c r="A21" s="56"/>
      <c r="B21" s="56"/>
      <c r="C21" s="56"/>
      <c r="D21" s="56"/>
      <c r="E21" s="56"/>
      <c r="F21" s="56"/>
      <c r="G21" s="56"/>
      <c r="I21" s="56"/>
      <c r="J21" s="57"/>
    </row>
    <row r="22" spans="1:10" x14ac:dyDescent="0.3">
      <c r="A22" s="56"/>
      <c r="B22" s="56"/>
      <c r="C22" s="56"/>
      <c r="D22" s="56"/>
      <c r="E22" s="56"/>
      <c r="F22" s="56"/>
      <c r="G22" s="56"/>
      <c r="I22" s="56"/>
      <c r="J22" s="57"/>
    </row>
    <row r="23" spans="1:10" x14ac:dyDescent="0.3">
      <c r="A23" s="56"/>
      <c r="B23" s="56"/>
      <c r="C23" s="56"/>
      <c r="D23" s="56"/>
      <c r="E23" s="56"/>
      <c r="F23" s="56"/>
      <c r="G23" s="56"/>
      <c r="I23" s="56"/>
      <c r="J23" s="57"/>
    </row>
    <row r="24" spans="1:10" x14ac:dyDescent="0.3">
      <c r="A24" s="56"/>
      <c r="B24" s="56"/>
      <c r="C24" s="56"/>
      <c r="D24" s="56"/>
      <c r="E24" s="56"/>
      <c r="F24" s="56"/>
      <c r="G24" s="56"/>
      <c r="I24" s="56"/>
      <c r="J24" s="57"/>
    </row>
    <row r="25" spans="1:10" x14ac:dyDescent="0.3">
      <c r="A25" s="56"/>
      <c r="B25" s="56"/>
      <c r="C25" s="56"/>
      <c r="D25" s="56"/>
      <c r="E25" s="56"/>
      <c r="F25" s="56"/>
      <c r="G25" s="56"/>
      <c r="I25" s="56"/>
      <c r="J25" s="57"/>
    </row>
    <row r="26" spans="1:10" x14ac:dyDescent="0.3">
      <c r="A26" s="56"/>
      <c r="B26" s="56"/>
      <c r="C26" s="56"/>
      <c r="D26" s="56"/>
      <c r="E26" s="56"/>
      <c r="F26" s="56"/>
      <c r="G26" s="56"/>
      <c r="I26" s="56"/>
      <c r="J26" s="57"/>
    </row>
    <row r="27" spans="1:10" x14ac:dyDescent="0.3">
      <c r="A27" s="56"/>
      <c r="B27" s="56"/>
      <c r="C27" s="56"/>
      <c r="D27" s="56"/>
      <c r="E27" s="56"/>
      <c r="F27" s="56"/>
      <c r="G27" s="56"/>
      <c r="I27" s="56"/>
      <c r="J27" s="57"/>
    </row>
    <row r="28" spans="1:10" x14ac:dyDescent="0.3">
      <c r="A28" s="56"/>
      <c r="B28" s="56"/>
      <c r="C28" s="56"/>
      <c r="D28" s="56"/>
      <c r="E28" s="56"/>
      <c r="F28" s="56"/>
      <c r="G28" s="56"/>
      <c r="I28" s="56"/>
      <c r="J28" s="57"/>
    </row>
    <row r="29" spans="1:10" x14ac:dyDescent="0.3">
      <c r="A29" s="56"/>
      <c r="B29" s="56"/>
      <c r="C29" s="56"/>
      <c r="D29" s="56"/>
      <c r="E29" s="56"/>
      <c r="F29" s="56"/>
      <c r="G29" s="56"/>
      <c r="I29" s="56"/>
      <c r="J29" s="57"/>
    </row>
    <row r="30" spans="1:10" x14ac:dyDescent="0.3">
      <c r="A30" s="56"/>
      <c r="B30" s="56"/>
      <c r="C30" s="56"/>
      <c r="D30" s="56"/>
      <c r="E30" s="56"/>
      <c r="F30" s="56"/>
      <c r="G30" s="56"/>
      <c r="I30" s="56"/>
      <c r="J30" s="57"/>
    </row>
    <row r="31" spans="1:10" x14ac:dyDescent="0.3">
      <c r="A31" s="56"/>
      <c r="B31" s="56"/>
      <c r="C31" s="56"/>
      <c r="D31" s="56"/>
      <c r="E31" s="56"/>
      <c r="F31" s="56"/>
      <c r="G31" s="56"/>
      <c r="I31" s="56"/>
      <c r="J31" s="57"/>
    </row>
    <row r="32" spans="1:10" x14ac:dyDescent="0.3">
      <c r="A32" s="56"/>
      <c r="B32" s="56"/>
      <c r="C32" s="56"/>
      <c r="D32" s="56"/>
      <c r="E32" s="56"/>
      <c r="F32" s="56"/>
      <c r="G32" s="56"/>
      <c r="I32" s="56"/>
      <c r="J32" s="57"/>
    </row>
    <row r="34" spans="1:10" x14ac:dyDescent="0.3">
      <c r="A34" s="58" t="s">
        <v>46</v>
      </c>
      <c r="B34" s="59"/>
      <c r="C34" s="60">
        <f>SUM(C3:C33)</f>
        <v>0</v>
      </c>
      <c r="D34" s="60">
        <f t="shared" ref="D34:I34" si="0">SUM(D3:D33)</f>
        <v>0</v>
      </c>
      <c r="E34" s="60">
        <f t="shared" si="0"/>
        <v>2</v>
      </c>
      <c r="F34" s="60">
        <f t="shared" si="0"/>
        <v>0</v>
      </c>
      <c r="G34" s="60">
        <f t="shared" si="0"/>
        <v>2</v>
      </c>
      <c r="I34" s="60">
        <f t="shared" si="0"/>
        <v>2</v>
      </c>
      <c r="J34" s="61" t="str">
        <f>IF(I34&gt;0, "NG", IF(I34=0,"OK",""))</f>
        <v>NG</v>
      </c>
    </row>
  </sheetData>
  <mergeCells count="2">
    <mergeCell ref="A1:J1"/>
    <mergeCell ref="A34:B34"/>
  </mergeCells>
  <phoneticPr fontId="4" type="noConversion"/>
  <dataValidations count="1">
    <dataValidation type="whole" allowBlank="1" showInputMessage="1" showErrorMessage="1" sqref="C3:F3">
      <formula1>0</formula1>
      <formula2>999999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M7" sqref="M7"/>
    </sheetView>
  </sheetViews>
  <sheetFormatPr defaultRowHeight="16.5" x14ac:dyDescent="0.3"/>
  <cols>
    <col min="3" max="3" width="17.125" customWidth="1"/>
    <col min="4" max="4" width="19.125" bestFit="1" customWidth="1"/>
    <col min="5" max="5" width="12.375" bestFit="1" customWidth="1"/>
    <col min="6" max="6" width="64.625" customWidth="1"/>
    <col min="7" max="7" width="52.5" customWidth="1"/>
    <col min="8" max="8" width="29.5" customWidth="1"/>
  </cols>
  <sheetData>
    <row r="1" spans="1:8" ht="50.25" customHeight="1" thickBot="1" x14ac:dyDescent="0.35">
      <c r="A1" s="1" t="s">
        <v>47</v>
      </c>
      <c r="B1" s="2"/>
      <c r="C1" s="2"/>
      <c r="D1" s="2"/>
      <c r="E1" s="2"/>
      <c r="F1" s="2"/>
      <c r="G1" s="2"/>
      <c r="H1" s="2"/>
    </row>
    <row r="2" spans="1:8" ht="17.25" thickBot="1" x14ac:dyDescent="0.35">
      <c r="A2" s="63" t="s">
        <v>48</v>
      </c>
      <c r="B2" s="64" t="s">
        <v>49</v>
      </c>
      <c r="C2" s="64" t="s">
        <v>50</v>
      </c>
      <c r="D2" s="64" t="s">
        <v>51</v>
      </c>
      <c r="E2" s="64" t="s">
        <v>52</v>
      </c>
      <c r="F2" s="64" t="s">
        <v>53</v>
      </c>
      <c r="G2" s="64" t="s">
        <v>54</v>
      </c>
      <c r="H2" s="65" t="s">
        <v>55</v>
      </c>
    </row>
    <row r="3" spans="1:8" ht="49.5" x14ac:dyDescent="0.3">
      <c r="A3" s="66" t="s">
        <v>56</v>
      </c>
      <c r="B3" s="67" t="s">
        <v>57</v>
      </c>
      <c r="C3" s="67" t="s">
        <v>58</v>
      </c>
      <c r="D3" s="67">
        <v>7.5</v>
      </c>
      <c r="E3" s="67" t="s">
        <v>59</v>
      </c>
      <c r="F3" s="68" t="s">
        <v>60</v>
      </c>
      <c r="G3" s="69" t="s">
        <v>61</v>
      </c>
      <c r="H3" s="70"/>
    </row>
    <row r="4" spans="1:8" x14ac:dyDescent="0.3">
      <c r="A4" s="56"/>
      <c r="B4" s="56"/>
      <c r="C4" s="56"/>
      <c r="D4" s="56"/>
      <c r="E4" s="56"/>
      <c r="F4" s="56"/>
      <c r="G4" s="56"/>
      <c r="H4" s="56"/>
    </row>
    <row r="5" spans="1:8" x14ac:dyDescent="0.3">
      <c r="A5" s="56"/>
      <c r="B5" s="56"/>
      <c r="C5" s="56"/>
      <c r="D5" s="56"/>
      <c r="E5" s="56"/>
      <c r="F5" s="56"/>
      <c r="G5" s="56"/>
      <c r="H5" s="56"/>
    </row>
    <row r="6" spans="1:8" x14ac:dyDescent="0.3">
      <c r="A6" s="56"/>
      <c r="B6" s="56"/>
      <c r="C6" s="56"/>
      <c r="D6" s="56"/>
      <c r="E6" s="56"/>
      <c r="F6" s="56"/>
      <c r="G6" s="56"/>
      <c r="H6" s="56"/>
    </row>
    <row r="7" spans="1:8" x14ac:dyDescent="0.3">
      <c r="A7" s="56"/>
      <c r="B7" s="56"/>
      <c r="C7" s="56"/>
      <c r="D7" s="56"/>
      <c r="E7" s="56"/>
      <c r="F7" s="56"/>
      <c r="G7" s="56"/>
      <c r="H7" s="56"/>
    </row>
    <row r="8" spans="1:8" x14ac:dyDescent="0.3">
      <c r="A8" s="56"/>
      <c r="B8" s="56"/>
      <c r="C8" s="56"/>
      <c r="D8" s="56"/>
      <c r="E8" s="56"/>
      <c r="F8" s="56"/>
      <c r="G8" s="56"/>
      <c r="H8" s="56"/>
    </row>
    <row r="9" spans="1:8" x14ac:dyDescent="0.3">
      <c r="A9" s="56"/>
      <c r="B9" s="56"/>
      <c r="C9" s="56"/>
      <c r="D9" s="56"/>
      <c r="E9" s="56"/>
      <c r="F9" s="56"/>
      <c r="G9" s="56"/>
      <c r="H9" s="56"/>
    </row>
    <row r="10" spans="1:8" x14ac:dyDescent="0.3">
      <c r="A10" s="56"/>
      <c r="B10" s="56"/>
      <c r="C10" s="56"/>
      <c r="D10" s="56"/>
      <c r="E10" s="56"/>
      <c r="F10" s="56"/>
      <c r="G10" s="56"/>
      <c r="H10" s="56"/>
    </row>
    <row r="11" spans="1:8" x14ac:dyDescent="0.3">
      <c r="A11" s="56"/>
      <c r="B11" s="56"/>
      <c r="C11" s="56"/>
      <c r="D11" s="56"/>
      <c r="E11" s="56"/>
      <c r="F11" s="56"/>
      <c r="G11" s="56"/>
      <c r="H11" s="56"/>
    </row>
    <row r="12" spans="1:8" x14ac:dyDescent="0.3">
      <c r="A12" s="56"/>
      <c r="B12" s="56"/>
      <c r="C12" s="56"/>
      <c r="D12" s="56"/>
      <c r="E12" s="56"/>
      <c r="F12" s="56"/>
      <c r="G12" s="56"/>
      <c r="H12" s="56"/>
    </row>
    <row r="13" spans="1:8" x14ac:dyDescent="0.3">
      <c r="A13" s="56"/>
      <c r="B13" s="56"/>
      <c r="C13" s="56"/>
      <c r="D13" s="56"/>
      <c r="E13" s="56"/>
      <c r="F13" s="56"/>
      <c r="G13" s="56"/>
      <c r="H13" s="56"/>
    </row>
    <row r="14" spans="1:8" x14ac:dyDescent="0.3">
      <c r="A14" s="56"/>
      <c r="B14" s="56"/>
      <c r="C14" s="56"/>
      <c r="D14" s="56"/>
      <c r="E14" s="56"/>
      <c r="F14" s="56"/>
      <c r="G14" s="56"/>
      <c r="H14" s="56"/>
    </row>
    <row r="15" spans="1:8" x14ac:dyDescent="0.3">
      <c r="A15" s="56"/>
      <c r="B15" s="56"/>
      <c r="C15" s="56"/>
      <c r="D15" s="56"/>
      <c r="E15" s="56"/>
      <c r="F15" s="56"/>
      <c r="G15" s="56"/>
      <c r="H15" s="56"/>
    </row>
    <row r="16" spans="1:8" x14ac:dyDescent="0.3">
      <c r="A16" s="56"/>
      <c r="B16" s="56"/>
      <c r="C16" s="56"/>
      <c r="D16" s="56"/>
      <c r="E16" s="56"/>
      <c r="F16" s="56"/>
      <c r="G16" s="56"/>
      <c r="H16" s="56"/>
    </row>
    <row r="17" spans="1:8" x14ac:dyDescent="0.3">
      <c r="A17" s="56"/>
      <c r="B17" s="56"/>
      <c r="C17" s="56"/>
      <c r="D17" s="56"/>
      <c r="E17" s="56"/>
      <c r="F17" s="56"/>
      <c r="G17" s="56"/>
      <c r="H17" s="56"/>
    </row>
    <row r="18" spans="1:8" x14ac:dyDescent="0.3">
      <c r="A18" s="56"/>
      <c r="B18" s="56"/>
      <c r="C18" s="56"/>
      <c r="D18" s="56"/>
      <c r="E18" s="56"/>
      <c r="F18" s="56"/>
      <c r="G18" s="56"/>
      <c r="H18" s="56"/>
    </row>
    <row r="19" spans="1:8" x14ac:dyDescent="0.3">
      <c r="A19" s="56"/>
      <c r="B19" s="56"/>
      <c r="C19" s="56"/>
      <c r="D19" s="56"/>
      <c r="E19" s="56"/>
      <c r="F19" s="56"/>
      <c r="G19" s="56"/>
      <c r="H19" s="56"/>
    </row>
    <row r="20" spans="1:8" x14ac:dyDescent="0.3">
      <c r="A20" s="56"/>
      <c r="B20" s="56"/>
      <c r="C20" s="56"/>
      <c r="D20" s="56"/>
      <c r="E20" s="56"/>
      <c r="F20" s="56"/>
      <c r="G20" s="56"/>
      <c r="H20" s="56"/>
    </row>
    <row r="21" spans="1:8" x14ac:dyDescent="0.3">
      <c r="A21" s="56"/>
      <c r="B21" s="56"/>
      <c r="C21" s="56"/>
      <c r="D21" s="56"/>
      <c r="E21" s="56"/>
      <c r="F21" s="56"/>
      <c r="G21" s="56"/>
      <c r="H21" s="56"/>
    </row>
    <row r="22" spans="1:8" x14ac:dyDescent="0.3">
      <c r="A22" s="56"/>
      <c r="B22" s="56"/>
      <c r="C22" s="56"/>
      <c r="D22" s="56"/>
      <c r="E22" s="56"/>
      <c r="F22" s="56"/>
      <c r="G22" s="56"/>
      <c r="H22" s="56"/>
    </row>
    <row r="23" spans="1:8" x14ac:dyDescent="0.3">
      <c r="A23" s="56"/>
      <c r="B23" s="56"/>
      <c r="C23" s="56"/>
      <c r="D23" s="56"/>
      <c r="E23" s="56"/>
      <c r="F23" s="56"/>
      <c r="G23" s="56"/>
      <c r="H23" s="56"/>
    </row>
    <row r="24" spans="1:8" x14ac:dyDescent="0.3">
      <c r="A24" s="56"/>
      <c r="B24" s="56"/>
      <c r="C24" s="56"/>
      <c r="D24" s="56"/>
      <c r="E24" s="56"/>
      <c r="F24" s="56"/>
      <c r="G24" s="56"/>
      <c r="H24" s="56"/>
    </row>
    <row r="25" spans="1:8" x14ac:dyDescent="0.3">
      <c r="A25" s="56"/>
      <c r="B25" s="56"/>
      <c r="C25" s="56"/>
      <c r="D25" s="56"/>
      <c r="E25" s="56"/>
      <c r="F25" s="56"/>
      <c r="G25" s="56"/>
      <c r="H25" s="56"/>
    </row>
    <row r="26" spans="1:8" x14ac:dyDescent="0.3">
      <c r="A26" s="56"/>
      <c r="B26" s="56"/>
      <c r="C26" s="56"/>
      <c r="D26" s="56"/>
      <c r="E26" s="56"/>
      <c r="F26" s="56"/>
      <c r="G26" s="56"/>
      <c r="H26" s="56"/>
    </row>
    <row r="27" spans="1:8" x14ac:dyDescent="0.3">
      <c r="A27" s="56"/>
      <c r="B27" s="56"/>
      <c r="C27" s="56"/>
      <c r="D27" s="56"/>
      <c r="E27" s="56"/>
      <c r="F27" s="56"/>
      <c r="G27" s="56"/>
      <c r="H27" s="56"/>
    </row>
    <row r="28" spans="1:8" x14ac:dyDescent="0.3">
      <c r="A28" s="56"/>
      <c r="B28" s="56"/>
      <c r="C28" s="56"/>
      <c r="D28" s="56"/>
      <c r="E28" s="56"/>
      <c r="F28" s="56"/>
      <c r="G28" s="56"/>
      <c r="H28" s="56"/>
    </row>
    <row r="29" spans="1:8" x14ac:dyDescent="0.3">
      <c r="A29" s="56"/>
      <c r="B29" s="56"/>
      <c r="C29" s="56"/>
      <c r="D29" s="56"/>
      <c r="E29" s="56"/>
      <c r="F29" s="56"/>
      <c r="G29" s="56"/>
      <c r="H29" s="56"/>
    </row>
    <row r="30" spans="1:8" x14ac:dyDescent="0.3">
      <c r="A30" s="56"/>
      <c r="B30" s="56"/>
      <c r="C30" s="56"/>
      <c r="D30" s="56"/>
      <c r="E30" s="56"/>
      <c r="F30" s="56"/>
      <c r="G30" s="56"/>
      <c r="H30" s="56"/>
    </row>
    <row r="31" spans="1:8" x14ac:dyDescent="0.3">
      <c r="A31" s="56"/>
      <c r="B31" s="56"/>
      <c r="C31" s="56"/>
      <c r="D31" s="56"/>
      <c r="E31" s="56"/>
      <c r="F31" s="56"/>
      <c r="G31" s="56"/>
      <c r="H31" s="56"/>
    </row>
    <row r="32" spans="1:8" x14ac:dyDescent="0.3">
      <c r="A32" s="56"/>
      <c r="B32" s="56"/>
      <c r="C32" s="56"/>
      <c r="D32" s="56"/>
      <c r="E32" s="56"/>
      <c r="F32" s="56"/>
      <c r="G32" s="56"/>
      <c r="H32" s="56"/>
    </row>
  </sheetData>
  <mergeCells count="1">
    <mergeCell ref="A1:H1"/>
  </mergeCells>
  <phoneticPr fontId="4" type="noConversion"/>
  <hyperlinks>
    <hyperlink ref="G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요약</vt:lpstr>
      <vt:lpstr>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2025-03-26T05:29:44Z</dcterms:created>
  <dcterms:modified xsi:type="dcterms:W3CDTF">2025-03-26T05:30:12Z</dcterms:modified>
</cp:coreProperties>
</file>