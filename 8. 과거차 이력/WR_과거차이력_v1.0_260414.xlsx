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.Task\000.Own\0.PTC\1.doc\ptc_heater_doc\8. 과거차 이력\"/>
    </mc:Choice>
  </mc:AlternateContent>
  <bookViews>
    <workbookView xWindow="0" yWindow="0" windowWidth="28800" windowHeight="12165" tabRatio="500" activeTab="1"/>
  </bookViews>
  <sheets>
    <sheet name="요약" sheetId="2" r:id="rId1"/>
    <sheet name="이슈 이력" sheetId="1" r:id="rId2"/>
  </sheets>
  <definedNames>
    <definedName name="_xlnm._FilterDatabase" localSheetId="1" hidden="1">'이슈 이력'!$B$2:$M$10</definedName>
    <definedName name="WRC_TIANJIN_2020_042">'이슈 이력'!$M$3</definedName>
  </definedNames>
  <calcPr calcId="162913" iterateDelta="1E-4"/>
</workbook>
</file>

<file path=xl/calcChain.xml><?xml version="1.0" encoding="utf-8"?>
<calcChain xmlns="http://schemas.openxmlformats.org/spreadsheetml/2006/main">
  <c r="E5" i="2" l="1"/>
  <c r="D5" i="2"/>
  <c r="C5" i="2"/>
  <c r="E4" i="2"/>
  <c r="D4" i="2"/>
  <c r="C4" i="2"/>
  <c r="E3" i="2"/>
  <c r="D3" i="2"/>
  <c r="C3" i="2"/>
  <c r="C6" i="2" l="1"/>
  <c r="E6" i="2"/>
  <c r="F4" i="2"/>
  <c r="D6" i="2"/>
  <c r="F5" i="2"/>
  <c r="F3" i="2"/>
  <c r="F6" i="2" l="1"/>
</calcChain>
</file>

<file path=xl/sharedStrings.xml><?xml version="1.0" encoding="utf-8"?>
<sst xmlns="http://schemas.openxmlformats.org/spreadsheetml/2006/main" count="103" uniqueCount="70">
  <si>
    <t>No.</t>
  </si>
  <si>
    <t>분류</t>
  </si>
  <si>
    <t>심각도</t>
  </si>
  <si>
    <t>상태</t>
  </si>
  <si>
    <t>일시</t>
  </si>
  <si>
    <t>발생내용</t>
  </si>
  <si>
    <t>발생원인</t>
  </si>
  <si>
    <t>후속조치</t>
  </si>
  <si>
    <t>개선대책</t>
  </si>
  <si>
    <t>담당자</t>
  </si>
  <si>
    <t>링크</t>
  </si>
  <si>
    <t>SW</t>
  </si>
  <si>
    <t>Closed</t>
  </si>
  <si>
    <t>Major</t>
  </si>
  <si>
    <t>Open</t>
  </si>
  <si>
    <t>HW</t>
  </si>
  <si>
    <t>In Progress</t>
  </si>
  <si>
    <t>합계</t>
  </si>
  <si>
    <t>기구</t>
  </si>
  <si>
    <t>WRC-TIANJIN-2020-042</t>
  </si>
  <si>
    <t>찍힘 파손 불량</t>
    <phoneticPr fontId="4" type="noConversion"/>
  </si>
  <si>
    <t>-</t>
    <phoneticPr fontId="4" type="noConversion"/>
  </si>
  <si>
    <t>재고품 선별 후 사용</t>
    <phoneticPr fontId="4" type="noConversion"/>
  </si>
  <si>
    <t>-</t>
    <phoneticPr fontId="4" type="noConversion"/>
  </si>
  <si>
    <t>WRC-TIANJIN-NCR-2021-041</t>
  </si>
  <si>
    <t>-</t>
    <phoneticPr fontId="4" type="noConversion"/>
  </si>
  <si>
    <t>ES6 PTC  HEAT ROD ASS'Y 사출 불량 </t>
  </si>
  <si>
    <t>-</t>
    <phoneticPr fontId="4" type="noConversion"/>
  </si>
  <si>
    <t>재고품 재검사</t>
    <phoneticPr fontId="4" type="noConversion"/>
  </si>
  <si>
    <t>WRC-TIANJIN-NCR-2021-047</t>
  </si>
  <si>
    <t>-</t>
    <phoneticPr fontId="4" type="noConversion"/>
  </si>
  <si>
    <t>ES6 PTC THERMISTOR 조립불량</t>
    <phoneticPr fontId="4" type="noConversion"/>
  </si>
  <si>
    <t>규격 불일치 - 외경 치수 문제</t>
  </si>
  <si>
    <t>Major</t>
    <phoneticPr fontId="4" type="noConversion"/>
  </si>
  <si>
    <t>Closed</t>
    <phoneticPr fontId="4" type="noConversion"/>
  </si>
  <si>
    <t>Major</t>
    <phoneticPr fontId="4" type="noConversion"/>
  </si>
  <si>
    <t>Major</t>
    <phoneticPr fontId="4" type="noConversion"/>
  </si>
  <si>
    <t>특이사항</t>
    <phoneticPr fontId="4" type="noConversion"/>
  </si>
  <si>
    <t>NCR-WRS-20220523-01</t>
  </si>
  <si>
    <t>PNA Body upper 외관 불량</t>
    <phoneticPr fontId="4" type="noConversion"/>
  </si>
  <si>
    <t>WRS-NCR-2023.03.24</t>
  </si>
  <si>
    <t>Angelika Neuwirthová</t>
    <phoneticPr fontId="4" type="noConversion"/>
  </si>
  <si>
    <t>GUO JUAN</t>
    <phoneticPr fontId="4" type="noConversion"/>
  </si>
  <si>
    <t>Robert Sevcik</t>
    <phoneticPr fontId="4" type="noConversion"/>
  </si>
  <si>
    <t>NCR-WRV-20241107-015</t>
  </si>
  <si>
    <t>PTC MVa FRONT Body 가압 리크 NG</t>
    <phoneticPr fontId="4" type="noConversion"/>
  </si>
  <si>
    <t>1) LBK 전수 육안 검사 실시
2) 휴노브&amp;LBK(제일테크) 커넥터부 형상 차이 조사
   - 휴노브 : 웰드 가공 처리
   - LBK : 사상 작업 처리
3) 개선대책서 공유
4) Body Ass'y NG 품 클레임 협의서 송부 (부품개발&amp;구매)</t>
    <phoneticPr fontId="4" type="noConversion"/>
  </si>
  <si>
    <t>SU2I PTC CORE ASS'Y 불량</t>
    <phoneticPr fontId="4" type="noConversion"/>
  </si>
  <si>
    <t>1) 코어 핀 단차 발생 : 29개
   - PCB 안착 시 단차로 인해 솔더링 불량
2) 코어핀 접착 이탈 발생 : 26개
   - 템프센서 조립시 코어핀 완전 이탈 발생</t>
    <phoneticPr fontId="4" type="noConversion"/>
  </si>
  <si>
    <t>1) 해당 품목 인도법인 전수 검사 실시
2) 우리 베트남 임시대책/근본대책 수립요청
3) 클린 포인트 회신</t>
    <phoneticPr fontId="4" type="noConversion"/>
  </si>
  <si>
    <t>권순현 전임</t>
    <phoneticPr fontId="4" type="noConversion"/>
  </si>
  <si>
    <t>WRI-NCR-250703</t>
  </si>
  <si>
    <t>1) UPPER HOUSING 커넥터부 크랙 (관통)</t>
    <phoneticPr fontId="4" type="noConversion"/>
  </si>
  <si>
    <t>1) upper body Burr 불량
   - 조립시 Core pin 파손</t>
    <phoneticPr fontId="4" type="noConversion"/>
  </si>
  <si>
    <t>CDPO 48V LV PTC HTR 작동불량</t>
    <phoneticPr fontId="4" type="noConversion"/>
  </si>
  <si>
    <t>1) Short circuit CTP fault : 3개</t>
    <phoneticPr fontId="4" type="noConversion"/>
  </si>
  <si>
    <t>1) 고품 분석 진행
   - MOSFET 저항 측정
     : PTC LOT(202601070424) -&gt; FET 3 손상
     : PTC LOT(202601080275) -&gt; FET 2 손상
     : PTC LOT(202601140317) -&gt; FET 3 손상</t>
    <phoneticPr fontId="4" type="noConversion"/>
  </si>
  <si>
    <t>1) 본사 연구소 합동 분석 진행 및 대책
2) FET 소자 정밀 분석 진행</t>
    <phoneticPr fontId="4" type="noConversion"/>
  </si>
  <si>
    <t>방민영 전임</t>
    <phoneticPr fontId="4" type="noConversion"/>
  </si>
  <si>
    <t>CDPO 48V LV PTC HTR 불량</t>
  </si>
  <si>
    <t>기구</t>
    <phoneticPr fontId="4" type="noConversion"/>
  </si>
  <si>
    <t>라인</t>
    <phoneticPr fontId="4" type="noConversion"/>
  </si>
  <si>
    <t>라인</t>
    <phoneticPr fontId="4" type="noConversion"/>
  </si>
  <si>
    <t>라인</t>
    <phoneticPr fontId="4" type="noConversion"/>
  </si>
  <si>
    <t>QV HV PTC - BODY ASS'Y  리크 불량</t>
  </si>
  <si>
    <t>1) COVER 부(사내조립) : 기포발생이 없음
2) BODY ASS'Y(입고품) : 코어아세이&amp;어퍼하우징 조립부 기포 발생</t>
    <phoneticPr fontId="4" type="noConversion"/>
  </si>
  <si>
    <t>1) QV 라인 긴급 생산 중지
2) 전수 라인 공급품 및 입고품 격리 조치
3) 격리품 전수 LEAK 검사 실시 - 26.02.26
   - 검사수량 : 126개, 불량수량 : 15개, 불량율 : 11.9%</t>
    <phoneticPr fontId="4" type="noConversion"/>
  </si>
  <si>
    <t>1) 개선품 입고 전, WRS 전수 리크 검사 실시 예정 - 즉시
2) WRV 원인분석 및 개선대책서 수립 접수
3) WRV 클린포인트 이전품에 대한 불량발생품 클레임 처리</t>
    <phoneticPr fontId="4" type="noConversion"/>
  </si>
  <si>
    <t>WRS-260227-001</t>
  </si>
  <si>
    <t>QV 100일 작전 기간에 따른, 리워크 사용품 공급 불가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</si>
</sst>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Calibri"/>
      <family val="2"/>
      <charset val="1"/>
    </font>
    <font>
      <u/>
      <sz val="11"/>
      <color theme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6" fillId="0" borderId="0" xfId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30">
    <dxf>
      <fill>
        <patternFill patternType="solid">
          <fgColor rgb="FFD9D9D9"/>
          <bgColor rgb="FFD9D9D9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D9D9D9"/>
          <bgColor rgb="FFD9D9D9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D9D9D9"/>
          <bgColor rgb="FFD9D9D9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font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DAEEF3"/>
          <bgColor rgb="FFDAEEF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w.woory.com/app/board/41/post/4648" TargetMode="External"/><Relationship Id="rId3" Type="http://schemas.openxmlformats.org/officeDocument/2006/relationships/hyperlink" Target="https://gw.woory.com/app/board/41/post/2533" TargetMode="External"/><Relationship Id="rId7" Type="http://schemas.openxmlformats.org/officeDocument/2006/relationships/hyperlink" Target="https://gw.woory.com/app/board/41/post/4313" TargetMode="External"/><Relationship Id="rId2" Type="http://schemas.openxmlformats.org/officeDocument/2006/relationships/hyperlink" Target="https://gw.woory.com/app/board/41/post/2467" TargetMode="External"/><Relationship Id="rId1" Type="http://schemas.openxmlformats.org/officeDocument/2006/relationships/hyperlink" Target="https://gw.woory.com/app/board/41/post/2218" TargetMode="External"/><Relationship Id="rId6" Type="http://schemas.openxmlformats.org/officeDocument/2006/relationships/hyperlink" Target="https://gw.woory.com/app/board/41/post/4011" TargetMode="External"/><Relationship Id="rId5" Type="http://schemas.openxmlformats.org/officeDocument/2006/relationships/hyperlink" Target="https://gw.woory.com/app/board/41/post/3210" TargetMode="External"/><Relationship Id="rId4" Type="http://schemas.openxmlformats.org/officeDocument/2006/relationships/hyperlink" Target="https://gw.woory.com/app/board/41/post/2791" TargetMode="External"/><Relationship Id="rId9" Type="http://schemas.openxmlformats.org/officeDocument/2006/relationships/hyperlink" Target="https://gw.woory.com/app/board/41/post/4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Normal="100" workbookViewId="0">
      <selection activeCell="D13" sqref="D13"/>
    </sheetView>
  </sheetViews>
  <sheetFormatPr defaultColWidth="8.7109375" defaultRowHeight="15" x14ac:dyDescent="0.25"/>
  <cols>
    <col min="1" max="1" width="3" style="1" customWidth="1"/>
    <col min="2" max="6" width="14" style="1" customWidth="1"/>
  </cols>
  <sheetData>
    <row r="1" spans="2:6" s="1" customFormat="1" x14ac:dyDescent="0.25"/>
    <row r="2" spans="2:6" ht="15" customHeight="1" x14ac:dyDescent="0.25">
      <c r="B2" s="3" t="s">
        <v>1</v>
      </c>
      <c r="C2" s="3" t="s">
        <v>14</v>
      </c>
      <c r="D2" s="3" t="s">
        <v>16</v>
      </c>
      <c r="E2" s="3" t="s">
        <v>12</v>
      </c>
      <c r="F2" s="3" t="s">
        <v>17</v>
      </c>
    </row>
    <row r="3" spans="2:6" ht="15" customHeight="1" x14ac:dyDescent="0.25">
      <c r="B3" s="4" t="s">
        <v>11</v>
      </c>
      <c r="C3" s="5">
        <f>COUNTIFS('이슈 이력'!C:C,"SW",'이슈 이력'!E:E,"Open")</f>
        <v>0</v>
      </c>
      <c r="D3" s="5">
        <f>COUNTIFS('이슈 이력'!C:C,"SW",'이슈 이력'!E:E,"In Progress")</f>
        <v>0</v>
      </c>
      <c r="E3" s="5">
        <f>COUNTIFS('이슈 이력'!C:C,"SW",'이슈 이력'!E:E,"Closed")</f>
        <v>0</v>
      </c>
      <c r="F3" s="5">
        <f>SUM(C3:E3)</f>
        <v>0</v>
      </c>
    </row>
    <row r="4" spans="2:6" ht="15" customHeight="1" x14ac:dyDescent="0.25">
      <c r="B4" s="4" t="s">
        <v>15</v>
      </c>
      <c r="C4" s="5">
        <f>COUNTIFS('이슈 이력'!C:C,"HW",'이슈 이력'!E:E,"Open")</f>
        <v>0</v>
      </c>
      <c r="D4" s="5">
        <f>COUNTIFS('이슈 이력'!C:C,"HW",'이슈 이력'!E:E,"In Progress")</f>
        <v>0</v>
      </c>
      <c r="E4" s="5">
        <f>COUNTIFS('이슈 이력'!C:C,"HW",'이슈 이력'!E:E,"Closed")</f>
        <v>1</v>
      </c>
      <c r="F4" s="5">
        <f>SUM(C4:E4)</f>
        <v>1</v>
      </c>
    </row>
    <row r="5" spans="2:6" ht="15" customHeight="1" x14ac:dyDescent="0.25">
      <c r="B5" s="4" t="s">
        <v>18</v>
      </c>
      <c r="C5" s="5">
        <f>COUNTIFS('이슈 이력'!C:C,"기구",'이슈 이력'!E:E,"Open")</f>
        <v>0</v>
      </c>
      <c r="D5" s="5">
        <f>COUNTIFS('이슈 이력'!C:C,"기구",'이슈 이력'!E:E,"In Progress")</f>
        <v>0</v>
      </c>
      <c r="E5" s="5">
        <f>COUNTIFS('이슈 이력'!C:C,"기구",'이슈 이력'!E:E,"Closed")</f>
        <v>1</v>
      </c>
      <c r="F5" s="5">
        <f>SUM(C5:E5)</f>
        <v>1</v>
      </c>
    </row>
    <row r="6" spans="2:6" ht="15" customHeight="1" x14ac:dyDescent="0.25">
      <c r="B6" s="4" t="s">
        <v>17</v>
      </c>
      <c r="C6" s="4">
        <f>SUM(C3:C5)</f>
        <v>0</v>
      </c>
      <c r="D6" s="4">
        <f>SUM(D3:D5)</f>
        <v>0</v>
      </c>
      <c r="E6" s="4">
        <f>SUM(E3:E5)</f>
        <v>2</v>
      </c>
      <c r="F6" s="4">
        <f>SUM(F3:F5)</f>
        <v>2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"/>
  <sheetViews>
    <sheetView tabSelected="1" zoomScale="85" zoomScaleNormal="85" workbookViewId="0">
      <pane ySplit="2" topLeftCell="A3" activePane="bottomLeft" state="frozen"/>
      <selection pane="bottomLeft" activeCell="H8" sqref="H8"/>
    </sheetView>
  </sheetViews>
  <sheetFormatPr defaultColWidth="8.7109375" defaultRowHeight="16.5" x14ac:dyDescent="0.3"/>
  <cols>
    <col min="1" max="1" width="2.85546875" style="2" customWidth="1"/>
    <col min="2" max="2" width="9.28515625" style="2" bestFit="1" customWidth="1"/>
    <col min="3" max="3" width="10" style="2" bestFit="1" customWidth="1"/>
    <col min="4" max="4" width="11.85546875" style="2" bestFit="1" customWidth="1"/>
    <col min="5" max="5" width="12.7109375" style="2" customWidth="1"/>
    <col min="6" max="6" width="15.28515625" style="2" customWidth="1"/>
    <col min="7" max="7" width="35.42578125" style="2" customWidth="1"/>
    <col min="8" max="8" width="57.140625" style="2" customWidth="1"/>
    <col min="9" max="9" width="51.28515625" style="2" customWidth="1"/>
    <col min="10" max="10" width="51.5703125" style="2" customWidth="1"/>
    <col min="11" max="11" width="46.5703125" style="2" customWidth="1"/>
    <col min="12" max="12" width="11.85546875" style="2" bestFit="1" customWidth="1"/>
    <col min="13" max="13" width="51.7109375" style="2" customWidth="1"/>
    <col min="14" max="16384" width="8.7109375" style="2"/>
  </cols>
  <sheetData>
    <row r="1" spans="2:13" ht="13.5" customHeight="1" x14ac:dyDescent="0.3"/>
    <row r="2" spans="2:13" ht="15" customHeight="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37</v>
      </c>
      <c r="L2" s="6" t="s">
        <v>9</v>
      </c>
      <c r="M2" s="6" t="s">
        <v>10</v>
      </c>
    </row>
    <row r="3" spans="2:13" ht="54.75" customHeight="1" x14ac:dyDescent="0.3">
      <c r="B3" s="7">
        <v>1</v>
      </c>
      <c r="C3" s="7" t="s">
        <v>62</v>
      </c>
      <c r="D3" s="7" t="s">
        <v>36</v>
      </c>
      <c r="E3" s="7" t="s">
        <v>12</v>
      </c>
      <c r="F3" s="8">
        <v>44069</v>
      </c>
      <c r="G3" s="7" t="s">
        <v>20</v>
      </c>
      <c r="H3" s="9" t="s">
        <v>21</v>
      </c>
      <c r="I3" s="7" t="s">
        <v>22</v>
      </c>
      <c r="J3" s="9" t="s">
        <v>23</v>
      </c>
      <c r="K3" s="9"/>
      <c r="L3" s="7" t="s">
        <v>42</v>
      </c>
      <c r="M3" s="10" t="s">
        <v>19</v>
      </c>
    </row>
    <row r="4" spans="2:13" ht="54.75" customHeight="1" x14ac:dyDescent="0.3">
      <c r="B4" s="7">
        <v>2</v>
      </c>
      <c r="C4" s="7" t="s">
        <v>62</v>
      </c>
      <c r="D4" s="9" t="s">
        <v>13</v>
      </c>
      <c r="E4" s="7" t="s">
        <v>12</v>
      </c>
      <c r="F4" s="8">
        <v>44417</v>
      </c>
      <c r="G4" s="11" t="s">
        <v>26</v>
      </c>
      <c r="H4" s="9" t="s">
        <v>27</v>
      </c>
      <c r="I4" s="7" t="s">
        <v>28</v>
      </c>
      <c r="J4" s="9" t="s">
        <v>25</v>
      </c>
      <c r="K4" s="9"/>
      <c r="L4" s="7" t="s">
        <v>42</v>
      </c>
      <c r="M4" s="10" t="s">
        <v>24</v>
      </c>
    </row>
    <row r="5" spans="2:13" ht="54.75" customHeight="1" x14ac:dyDescent="0.3">
      <c r="B5" s="7">
        <v>3</v>
      </c>
      <c r="C5" s="7" t="s">
        <v>62</v>
      </c>
      <c r="D5" s="7" t="s">
        <v>33</v>
      </c>
      <c r="E5" s="7" t="s">
        <v>12</v>
      </c>
      <c r="F5" s="8">
        <v>44519</v>
      </c>
      <c r="G5" s="7" t="s">
        <v>31</v>
      </c>
      <c r="H5" s="9" t="s">
        <v>25</v>
      </c>
      <c r="I5" s="7" t="s">
        <v>28</v>
      </c>
      <c r="J5" s="9" t="s">
        <v>30</v>
      </c>
      <c r="K5" s="9"/>
      <c r="L5" s="7" t="s">
        <v>42</v>
      </c>
      <c r="M5" s="10" t="s">
        <v>29</v>
      </c>
    </row>
    <row r="6" spans="2:13" ht="54.75" customHeight="1" x14ac:dyDescent="0.3">
      <c r="B6" s="7">
        <v>4</v>
      </c>
      <c r="C6" s="7" t="s">
        <v>60</v>
      </c>
      <c r="D6" s="7" t="s">
        <v>13</v>
      </c>
      <c r="E6" s="7" t="s">
        <v>12</v>
      </c>
      <c r="F6" s="8">
        <v>44704</v>
      </c>
      <c r="G6" s="7" t="s">
        <v>32</v>
      </c>
      <c r="H6" s="9" t="s">
        <v>21</v>
      </c>
      <c r="I6" s="7" t="s">
        <v>22</v>
      </c>
      <c r="J6" s="9" t="s">
        <v>21</v>
      </c>
      <c r="K6" s="7"/>
      <c r="L6" s="7" t="s">
        <v>43</v>
      </c>
      <c r="M6" s="10" t="s">
        <v>38</v>
      </c>
    </row>
    <row r="7" spans="2:13" ht="54.75" customHeight="1" x14ac:dyDescent="0.3">
      <c r="B7" s="7">
        <v>5</v>
      </c>
      <c r="C7" s="7" t="s">
        <v>63</v>
      </c>
      <c r="D7" s="7" t="s">
        <v>13</v>
      </c>
      <c r="E7" s="7" t="s">
        <v>12</v>
      </c>
      <c r="F7" s="8">
        <v>45009</v>
      </c>
      <c r="G7" s="7" t="s">
        <v>39</v>
      </c>
      <c r="H7" s="12" t="s">
        <v>53</v>
      </c>
      <c r="I7" s="7" t="s">
        <v>22</v>
      </c>
      <c r="J7" s="9" t="s">
        <v>25</v>
      </c>
      <c r="K7" s="7"/>
      <c r="L7" s="7" t="s">
        <v>41</v>
      </c>
      <c r="M7" s="10" t="s">
        <v>40</v>
      </c>
    </row>
    <row r="8" spans="2:13" ht="81" x14ac:dyDescent="0.3">
      <c r="B8" s="7">
        <v>6</v>
      </c>
      <c r="C8" s="7" t="s">
        <v>62</v>
      </c>
      <c r="D8" s="7" t="s">
        <v>13</v>
      </c>
      <c r="E8" s="7" t="s">
        <v>12</v>
      </c>
      <c r="F8" s="8">
        <v>45603</v>
      </c>
      <c r="G8" s="7" t="s">
        <v>45</v>
      </c>
      <c r="H8" s="12" t="s">
        <v>52</v>
      </c>
      <c r="I8" s="12" t="s">
        <v>46</v>
      </c>
      <c r="J8" s="9" t="s">
        <v>25</v>
      </c>
      <c r="K8" s="7"/>
      <c r="L8" s="7" t="s">
        <v>42</v>
      </c>
      <c r="M8" s="10" t="s">
        <v>44</v>
      </c>
    </row>
    <row r="9" spans="2:13" ht="54.75" customHeight="1" x14ac:dyDescent="0.3">
      <c r="B9" s="7">
        <v>7</v>
      </c>
      <c r="C9" s="7" t="s">
        <v>62</v>
      </c>
      <c r="D9" s="7" t="s">
        <v>13</v>
      </c>
      <c r="E9" s="7" t="s">
        <v>12</v>
      </c>
      <c r="F9" s="8">
        <v>45841</v>
      </c>
      <c r="G9" s="7" t="s">
        <v>47</v>
      </c>
      <c r="H9" s="13" t="s">
        <v>48</v>
      </c>
      <c r="I9" s="12" t="s">
        <v>49</v>
      </c>
      <c r="J9" s="9" t="s">
        <v>25</v>
      </c>
      <c r="K9" s="7"/>
      <c r="L9" s="7" t="s">
        <v>50</v>
      </c>
      <c r="M9" s="10" t="s">
        <v>51</v>
      </c>
    </row>
    <row r="10" spans="2:13" ht="67.5" x14ac:dyDescent="0.3">
      <c r="B10" s="7">
        <v>8</v>
      </c>
      <c r="C10" s="7" t="s">
        <v>15</v>
      </c>
      <c r="D10" s="7" t="s">
        <v>13</v>
      </c>
      <c r="E10" s="7" t="s">
        <v>12</v>
      </c>
      <c r="F10" s="8">
        <v>46051</v>
      </c>
      <c r="G10" s="7" t="s">
        <v>54</v>
      </c>
      <c r="H10" s="12" t="s">
        <v>55</v>
      </c>
      <c r="I10" s="12" t="s">
        <v>56</v>
      </c>
      <c r="J10" s="12" t="s">
        <v>57</v>
      </c>
      <c r="K10" s="7"/>
      <c r="L10" s="7" t="s">
        <v>58</v>
      </c>
      <c r="M10" s="10" t="s">
        <v>59</v>
      </c>
    </row>
    <row r="11" spans="2:13" ht="54" x14ac:dyDescent="0.3">
      <c r="B11" s="7">
        <v>9</v>
      </c>
      <c r="C11" s="7" t="s">
        <v>61</v>
      </c>
      <c r="D11" s="7" t="s">
        <v>35</v>
      </c>
      <c r="E11" s="7" t="s">
        <v>34</v>
      </c>
      <c r="F11" s="8">
        <v>46078</v>
      </c>
      <c r="G11" s="7" t="s">
        <v>64</v>
      </c>
      <c r="H11" s="12" t="s">
        <v>65</v>
      </c>
      <c r="I11" s="12" t="s">
        <v>66</v>
      </c>
      <c r="J11" s="12" t="s">
        <v>67</v>
      </c>
      <c r="K11" s="7" t="s">
        <v>69</v>
      </c>
      <c r="L11" s="7" t="s">
        <v>58</v>
      </c>
      <c r="M11" s="10" t="s">
        <v>68</v>
      </c>
    </row>
    <row r="12" spans="2:13" x14ac:dyDescent="0.3">
      <c r="B12" s="7">
        <v>10</v>
      </c>
      <c r="C12" s="7"/>
      <c r="D12" s="7"/>
      <c r="E12" s="7"/>
      <c r="F12" s="8"/>
      <c r="G12" s="7"/>
      <c r="H12" s="12"/>
      <c r="I12" s="12"/>
      <c r="J12" s="12"/>
      <c r="K12" s="7"/>
      <c r="L12" s="7"/>
      <c r="M12" s="10"/>
    </row>
    <row r="13" spans="2:13" x14ac:dyDescent="0.3">
      <c r="B13" s="14"/>
      <c r="C13" s="14"/>
      <c r="D13" s="14"/>
      <c r="E13" s="14"/>
      <c r="F13" s="15"/>
      <c r="G13" s="14"/>
      <c r="H13" s="16"/>
      <c r="I13" s="16"/>
      <c r="J13" s="16"/>
      <c r="K13" s="14"/>
      <c r="L13" s="14"/>
      <c r="M13" s="17"/>
    </row>
  </sheetData>
  <autoFilter ref="B2:M10"/>
  <phoneticPr fontId="4" type="noConversion"/>
  <conditionalFormatting sqref="C14:C203 C3:C10">
    <cfRule type="expression" dxfId="29" priority="31">
      <formula>C3="SW"</formula>
    </cfRule>
    <cfRule type="expression" dxfId="28" priority="32">
      <formula>C3="HW"</formula>
    </cfRule>
    <cfRule type="expression" dxfId="27" priority="33">
      <formula>C3="기구"</formula>
    </cfRule>
  </conditionalFormatting>
  <conditionalFormatting sqref="D3:D10 D14:D203">
    <cfRule type="expression" dxfId="26" priority="34">
      <formula>D3="Critical"</formula>
    </cfRule>
    <cfRule type="expression" dxfId="25" priority="35">
      <formula>D3="Major"</formula>
    </cfRule>
    <cfRule type="expression" dxfId="24" priority="36">
      <formula>D3="Minor"</formula>
    </cfRule>
  </conditionalFormatting>
  <conditionalFormatting sqref="E3:E10 E14:E203">
    <cfRule type="expression" dxfId="23" priority="37">
      <formula>E3="Open"</formula>
    </cfRule>
    <cfRule type="expression" dxfId="22" priority="38">
      <formula>E3="In Progress"</formula>
    </cfRule>
    <cfRule type="expression" dxfId="21" priority="39">
      <formula>E3="Closed"</formula>
    </cfRule>
    <cfRule type="expression" dxfId="20" priority="40">
      <formula>E3="Hold"</formula>
    </cfRule>
  </conditionalFormatting>
  <conditionalFormatting sqref="C11 C13">
    <cfRule type="expression" dxfId="19" priority="11">
      <formula>C11="SW"</formula>
    </cfRule>
    <cfRule type="expression" dxfId="18" priority="12">
      <formula>C11="HW"</formula>
    </cfRule>
    <cfRule type="expression" dxfId="17" priority="13">
      <formula>C11="기구"</formula>
    </cfRule>
  </conditionalFormatting>
  <conditionalFormatting sqref="D11 D13">
    <cfRule type="expression" dxfId="16" priority="14">
      <formula>D11="Critical"</formula>
    </cfRule>
    <cfRule type="expression" dxfId="15" priority="15">
      <formula>D11="Major"</formula>
    </cfRule>
    <cfRule type="expression" dxfId="14" priority="16">
      <formula>D11="Minor"</formula>
    </cfRule>
  </conditionalFormatting>
  <conditionalFormatting sqref="E11 E13">
    <cfRule type="expression" dxfId="13" priority="17">
      <formula>E11="Open"</formula>
    </cfRule>
    <cfRule type="expression" dxfId="12" priority="18">
      <formula>E11="In Progress"</formula>
    </cfRule>
    <cfRule type="expression" dxfId="11" priority="19">
      <formula>E11="Closed"</formula>
    </cfRule>
    <cfRule type="expression" dxfId="10" priority="20">
      <formula>E11="Hold"</formula>
    </cfRule>
  </conditionalFormatting>
  <conditionalFormatting sqref="C12">
    <cfRule type="expression" dxfId="9" priority="1">
      <formula>C12="SW"</formula>
    </cfRule>
    <cfRule type="expression" dxfId="8" priority="2">
      <formula>C12="HW"</formula>
    </cfRule>
    <cfRule type="expression" dxfId="7" priority="3">
      <formula>C12="기구"</formula>
    </cfRule>
  </conditionalFormatting>
  <conditionalFormatting sqref="D12">
    <cfRule type="expression" dxfId="6" priority="4">
      <formula>D12="Critical"</formula>
    </cfRule>
    <cfRule type="expression" dxfId="5" priority="5">
      <formula>D12="Major"</formula>
    </cfRule>
    <cfRule type="expression" dxfId="4" priority="6">
      <formula>D12="Minor"</formula>
    </cfRule>
  </conditionalFormatting>
  <conditionalFormatting sqref="E12">
    <cfRule type="expression" dxfId="3" priority="7">
      <formula>E12="Open"</formula>
    </cfRule>
    <cfRule type="expression" dxfId="2" priority="8">
      <formula>E12="In Progress"</formula>
    </cfRule>
    <cfRule type="expression" dxfId="1" priority="9">
      <formula>E12="Closed"</formula>
    </cfRule>
    <cfRule type="expression" dxfId="0" priority="10">
      <formula>E12="Hold"</formula>
    </cfRule>
  </conditionalFormatting>
  <dataValidations count="3">
    <dataValidation type="list" allowBlank="1" error="SW, HW, 기구 중 선택" sqref="C3:C203">
      <formula1>"SW,HW,기구"</formula1>
      <formula2>0</formula2>
    </dataValidation>
    <dataValidation type="list" allowBlank="1" sqref="D3:D203">
      <formula1>"Critical,Major,Minor"</formula1>
      <formula2>0</formula2>
    </dataValidation>
    <dataValidation type="list" allowBlank="1" sqref="E3:E203">
      <formula1>"Open,In Progress,Closed,Hold"</formula1>
      <formula2>0</formula2>
    </dataValidation>
  </dataValidations>
  <hyperlinks>
    <hyperlink ref="M3" r:id="rId1"/>
    <hyperlink ref="M4" r:id="rId2"/>
    <hyperlink ref="M5" r:id="rId3"/>
    <hyperlink ref="M6" r:id="rId4"/>
    <hyperlink ref="M7" r:id="rId5"/>
    <hyperlink ref="M8" r:id="rId6"/>
    <hyperlink ref="M9" r:id="rId7"/>
    <hyperlink ref="M10" r:id="rId8"/>
    <hyperlink ref="M11" r:id="rId9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요약</vt:lpstr>
      <vt:lpstr>이슈 이력</vt:lpstr>
      <vt:lpstr>WRC_TIANJIN_2020_042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Woory</cp:lastModifiedBy>
  <cp:revision>0</cp:revision>
  <dcterms:created xsi:type="dcterms:W3CDTF">2026-04-14T05:39:09Z</dcterms:created>
  <dcterms:modified xsi:type="dcterms:W3CDTF">2026-04-21T09:50:06Z</dcterms:modified>
  <dc:language>en-US</dc:language>
</cp:coreProperties>
</file>